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Users\MIGY-niel122f\Mit Drev\WordPress Hjemmeside\LiveOpdatering\"/>
    </mc:Choice>
  </mc:AlternateContent>
  <xr:revisionPtr revIDLastSave="0" documentId="13_ncr:1_{1C281274-E025-42C1-8D6A-2C16DE8211F6}" xr6:coauthVersionLast="47" xr6:coauthVersionMax="47" xr10:uidLastSave="{00000000-0000-0000-0000-000000000000}"/>
  <bookViews>
    <workbookView xWindow="-120" yWindow="-120" windowWidth="29040" windowHeight="15840" activeTab="4" xr2:uid="{67FF9D9A-20B3-49CD-8A2E-8596F3A52D15}"/>
  </bookViews>
  <sheets>
    <sheet name="Termodynamik" sheetId="1" r:id="rId1"/>
    <sheet name="Elementaranalyse" sheetId="2" r:id="rId2"/>
    <sheet name="Reaktionsordener" sheetId="3" r:id="rId3"/>
    <sheet name="Aktiveringsenergi (Arrhenius)" sheetId="4" r:id="rId4"/>
    <sheet name="SyreBas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4" l="1"/>
  <c r="E9" i="4"/>
  <c r="AX39" i="1"/>
  <c r="AX41" i="1"/>
  <c r="AX43" i="1"/>
  <c r="AX44" i="1"/>
  <c r="AX45" i="1"/>
  <c r="AX47" i="1"/>
  <c r="AX49" i="1"/>
  <c r="AW39" i="1"/>
  <c r="AW41" i="1"/>
  <c r="AW43" i="1"/>
  <c r="AW44" i="1"/>
  <c r="AW45" i="1"/>
  <c r="AW47" i="1"/>
  <c r="AW49" i="1"/>
  <c r="AW50" i="1"/>
  <c r="AV39" i="1"/>
  <c r="AV41" i="1"/>
  <c r="AV43" i="1"/>
  <c r="AV44" i="1"/>
  <c r="AV45" i="1"/>
  <c r="AV47" i="1"/>
  <c r="AV49" i="1"/>
  <c r="AV50" i="1"/>
  <c r="M5" i="2" l="1"/>
  <c r="M6" i="2"/>
  <c r="M7" i="2"/>
  <c r="M8" i="2"/>
  <c r="M9" i="2"/>
  <c r="M10" i="2"/>
  <c r="M11" i="2"/>
  <c r="M12" i="2"/>
  <c r="M13" i="2"/>
  <c r="M14" i="2"/>
  <c r="M15" i="2"/>
  <c r="M16" i="2"/>
  <c r="M4" i="2"/>
  <c r="R5" i="3"/>
  <c r="R4" i="3"/>
  <c r="R3" i="3"/>
  <c r="R6" i="3" s="1"/>
  <c r="AL53" i="5"/>
  <c r="AL48" i="5"/>
  <c r="AN54" i="5"/>
  <c r="AN53" i="5"/>
  <c r="AN52" i="5"/>
  <c r="AN51" i="5"/>
  <c r="AN49" i="5"/>
  <c r="AN48" i="5"/>
  <c r="AN47" i="5"/>
  <c r="AL28" i="5"/>
  <c r="AL31" i="5"/>
  <c r="AL21" i="5"/>
  <c r="AL20" i="5"/>
  <c r="AL3" i="5"/>
  <c r="P15" i="5" s="1"/>
  <c r="AN44" i="5"/>
  <c r="AN43" i="5"/>
  <c r="AL43" i="5"/>
  <c r="AN42" i="5"/>
  <c r="AN41" i="5"/>
  <c r="AN39" i="5"/>
  <c r="AN38" i="5"/>
  <c r="AL38" i="5"/>
  <c r="AN37" i="5"/>
  <c r="AN34" i="5"/>
  <c r="AL30" i="5"/>
  <c r="AN31" i="5"/>
  <c r="AN30" i="5"/>
  <c r="AN29" i="5"/>
  <c r="AL27" i="5"/>
  <c r="AN28" i="5"/>
  <c r="AN23" i="5"/>
  <c r="AN22" i="5"/>
  <c r="AN21" i="5"/>
  <c r="AN20" i="5"/>
  <c r="AN19" i="5"/>
  <c r="AN16" i="5"/>
  <c r="AL16" i="5"/>
  <c r="AN15" i="5"/>
  <c r="AL15" i="5"/>
  <c r="AN14" i="5"/>
  <c r="AL14" i="5"/>
  <c r="AN13" i="5"/>
  <c r="AL13" i="5"/>
  <c r="AN12" i="5"/>
  <c r="AN9" i="5"/>
  <c r="AL9" i="5"/>
  <c r="AN8" i="5"/>
  <c r="AL8" i="5"/>
  <c r="AN7" i="5"/>
  <c r="AL7" i="5"/>
  <c r="AN6" i="5"/>
  <c r="AL6" i="5"/>
  <c r="AN5" i="5"/>
  <c r="C24" i="2"/>
  <c r="E19" i="1"/>
  <c r="AW4" i="1"/>
  <c r="BA1" i="1"/>
  <c r="N18" i="5"/>
  <c r="R5" i="4"/>
  <c r="N4" i="4" s="1"/>
  <c r="AA3" i="5"/>
  <c r="AC6" i="5"/>
  <c r="AC7" i="5"/>
  <c r="J41" i="3"/>
  <c r="AU3" i="1"/>
  <c r="AA43" i="5"/>
  <c r="AA38" i="5"/>
  <c r="AA33" i="5"/>
  <c r="AA32" i="5"/>
  <c r="AA30" i="5"/>
  <c r="AA29" i="5"/>
  <c r="AA25" i="5"/>
  <c r="AA24" i="5"/>
  <c r="AA23" i="5"/>
  <c r="AA21" i="5"/>
  <c r="AA20" i="5"/>
  <c r="C18" i="5"/>
  <c r="AA16" i="5"/>
  <c r="AA15" i="5"/>
  <c r="AA14" i="5"/>
  <c r="AA13" i="5"/>
  <c r="AA9" i="5"/>
  <c r="AA8" i="5"/>
  <c r="AA7" i="5"/>
  <c r="AA6" i="5"/>
  <c r="R7" i="4"/>
  <c r="BQ16" i="1"/>
  <c r="F99" i="4"/>
  <c r="E99" i="4"/>
  <c r="D99" i="4"/>
  <c r="F98" i="4"/>
  <c r="E98" i="4"/>
  <c r="D98" i="4"/>
  <c r="F97" i="4"/>
  <c r="E97" i="4"/>
  <c r="D97" i="4"/>
  <c r="F96" i="4"/>
  <c r="E96" i="4"/>
  <c r="D96" i="4"/>
  <c r="F95" i="4"/>
  <c r="E95" i="4"/>
  <c r="D95" i="4"/>
  <c r="F94" i="4"/>
  <c r="E94" i="4"/>
  <c r="D94" i="4"/>
  <c r="F93" i="4"/>
  <c r="E93" i="4"/>
  <c r="D93" i="4"/>
  <c r="F92" i="4"/>
  <c r="E92" i="4"/>
  <c r="D92" i="4"/>
  <c r="F91" i="4"/>
  <c r="E91" i="4"/>
  <c r="D91" i="4"/>
  <c r="F90" i="4"/>
  <c r="E90" i="4"/>
  <c r="D90" i="4"/>
  <c r="F89" i="4"/>
  <c r="E89" i="4"/>
  <c r="D89" i="4"/>
  <c r="F88" i="4"/>
  <c r="E88" i="4"/>
  <c r="D88" i="4"/>
  <c r="F87" i="4"/>
  <c r="E87" i="4"/>
  <c r="D87" i="4"/>
  <c r="F86" i="4"/>
  <c r="E86" i="4"/>
  <c r="D86" i="4"/>
  <c r="F85" i="4"/>
  <c r="E85" i="4"/>
  <c r="D85" i="4"/>
  <c r="F84" i="4"/>
  <c r="E84" i="4"/>
  <c r="D84" i="4"/>
  <c r="F83" i="4"/>
  <c r="E83" i="4"/>
  <c r="D83" i="4"/>
  <c r="F82" i="4"/>
  <c r="E82" i="4"/>
  <c r="D82" i="4"/>
  <c r="F81" i="4"/>
  <c r="E81" i="4"/>
  <c r="D81" i="4"/>
  <c r="F80" i="4"/>
  <c r="E80" i="4"/>
  <c r="D80" i="4"/>
  <c r="F79" i="4"/>
  <c r="E79" i="4"/>
  <c r="D79" i="4"/>
  <c r="F78" i="4"/>
  <c r="E78" i="4"/>
  <c r="D78" i="4"/>
  <c r="F77" i="4"/>
  <c r="E77" i="4"/>
  <c r="D77" i="4"/>
  <c r="F76" i="4"/>
  <c r="E76" i="4"/>
  <c r="D76" i="4"/>
  <c r="F75" i="4"/>
  <c r="E75" i="4"/>
  <c r="D75" i="4"/>
  <c r="F74" i="4"/>
  <c r="E74" i="4"/>
  <c r="D74" i="4"/>
  <c r="F73" i="4"/>
  <c r="E73" i="4"/>
  <c r="D73" i="4"/>
  <c r="F72" i="4"/>
  <c r="E72" i="4"/>
  <c r="D72" i="4"/>
  <c r="F71" i="4"/>
  <c r="E71" i="4"/>
  <c r="D71" i="4"/>
  <c r="F70" i="4"/>
  <c r="E70" i="4"/>
  <c r="D70" i="4"/>
  <c r="F69" i="4"/>
  <c r="E69" i="4"/>
  <c r="D69" i="4"/>
  <c r="F68" i="4"/>
  <c r="E68" i="4"/>
  <c r="D68" i="4"/>
  <c r="F67" i="4"/>
  <c r="E67" i="4"/>
  <c r="D67" i="4"/>
  <c r="F66" i="4"/>
  <c r="E66" i="4"/>
  <c r="D66" i="4"/>
  <c r="F65" i="4"/>
  <c r="E65" i="4"/>
  <c r="D65" i="4"/>
  <c r="F64" i="4"/>
  <c r="E64" i="4"/>
  <c r="D64" i="4"/>
  <c r="F63" i="4"/>
  <c r="E63" i="4"/>
  <c r="D63" i="4"/>
  <c r="F62" i="4"/>
  <c r="E62" i="4"/>
  <c r="D62" i="4"/>
  <c r="F61" i="4"/>
  <c r="E61" i="4"/>
  <c r="D61" i="4"/>
  <c r="F60" i="4"/>
  <c r="E60" i="4"/>
  <c r="D60" i="4"/>
  <c r="F59" i="4"/>
  <c r="E59" i="4"/>
  <c r="D59" i="4"/>
  <c r="F58" i="4"/>
  <c r="E58" i="4"/>
  <c r="D58" i="4"/>
  <c r="F57" i="4"/>
  <c r="E57" i="4"/>
  <c r="D57" i="4"/>
  <c r="F56" i="4"/>
  <c r="E56" i="4"/>
  <c r="D56" i="4"/>
  <c r="F55" i="4"/>
  <c r="E55" i="4"/>
  <c r="D55" i="4"/>
  <c r="F54" i="4"/>
  <c r="E54" i="4"/>
  <c r="D54" i="4"/>
  <c r="F53" i="4"/>
  <c r="E53" i="4"/>
  <c r="D53" i="4"/>
  <c r="F52" i="4"/>
  <c r="E52" i="4"/>
  <c r="D52" i="4"/>
  <c r="F51" i="4"/>
  <c r="E51" i="4"/>
  <c r="D51" i="4"/>
  <c r="F50" i="4"/>
  <c r="E50" i="4"/>
  <c r="D50" i="4"/>
  <c r="F49" i="4"/>
  <c r="E49" i="4"/>
  <c r="D49" i="4"/>
  <c r="F48" i="4"/>
  <c r="E48" i="4"/>
  <c r="D48" i="4"/>
  <c r="F47" i="4"/>
  <c r="E47" i="4"/>
  <c r="D47" i="4"/>
  <c r="F46" i="4"/>
  <c r="E46" i="4"/>
  <c r="D46" i="4"/>
  <c r="F45" i="4"/>
  <c r="E45" i="4"/>
  <c r="D45" i="4"/>
  <c r="F44" i="4"/>
  <c r="E44" i="4"/>
  <c r="D44" i="4"/>
  <c r="F43" i="4"/>
  <c r="E43" i="4"/>
  <c r="D43" i="4"/>
  <c r="F42" i="4"/>
  <c r="E42" i="4"/>
  <c r="D42" i="4"/>
  <c r="F41" i="4"/>
  <c r="E41" i="4"/>
  <c r="D41" i="4"/>
  <c r="F40" i="4"/>
  <c r="E40" i="4"/>
  <c r="D40" i="4"/>
  <c r="F39" i="4"/>
  <c r="E39" i="4"/>
  <c r="D39" i="4"/>
  <c r="F38" i="4"/>
  <c r="E38" i="4"/>
  <c r="D38" i="4"/>
  <c r="F37" i="4"/>
  <c r="E37" i="4"/>
  <c r="D37" i="4"/>
  <c r="F36" i="4"/>
  <c r="E36" i="4"/>
  <c r="D36" i="4"/>
  <c r="F35" i="4"/>
  <c r="E35" i="4"/>
  <c r="D35" i="4"/>
  <c r="F34" i="4"/>
  <c r="E34" i="4"/>
  <c r="D34" i="4"/>
  <c r="F33" i="4"/>
  <c r="E33" i="4"/>
  <c r="D33" i="4"/>
  <c r="F32" i="4"/>
  <c r="E32" i="4"/>
  <c r="D32" i="4"/>
  <c r="F31" i="4"/>
  <c r="E31" i="4"/>
  <c r="D31" i="4"/>
  <c r="F30" i="4"/>
  <c r="E30" i="4"/>
  <c r="D30" i="4"/>
  <c r="F29" i="4"/>
  <c r="E29" i="4"/>
  <c r="D29" i="4"/>
  <c r="F28" i="4"/>
  <c r="E28" i="4"/>
  <c r="D28" i="4"/>
  <c r="F27" i="4"/>
  <c r="E27" i="4"/>
  <c r="D27" i="4"/>
  <c r="F26" i="4"/>
  <c r="E26" i="4"/>
  <c r="D26" i="4"/>
  <c r="F25" i="4"/>
  <c r="E25" i="4"/>
  <c r="D25" i="4"/>
  <c r="F24" i="4"/>
  <c r="E24" i="4"/>
  <c r="D24" i="4"/>
  <c r="F23" i="4"/>
  <c r="E23" i="4"/>
  <c r="D23" i="4"/>
  <c r="F22" i="4"/>
  <c r="E22" i="4"/>
  <c r="D22" i="4"/>
  <c r="F21" i="4"/>
  <c r="E21" i="4"/>
  <c r="D21" i="4"/>
  <c r="F20" i="4"/>
  <c r="E20" i="4"/>
  <c r="D20" i="4"/>
  <c r="F19" i="4"/>
  <c r="E19" i="4"/>
  <c r="D19" i="4"/>
  <c r="F18" i="4"/>
  <c r="E18" i="4"/>
  <c r="D18" i="4"/>
  <c r="F17" i="4"/>
  <c r="E17" i="4"/>
  <c r="D17" i="4"/>
  <c r="L16" i="4"/>
  <c r="F16" i="4"/>
  <c r="D16" i="4"/>
  <c r="E16" i="4" s="1"/>
  <c r="F15" i="4"/>
  <c r="D15" i="4"/>
  <c r="E15" i="4" s="1"/>
  <c r="F14" i="4"/>
  <c r="D14" i="4"/>
  <c r="E14" i="4" s="1"/>
  <c r="F13" i="4"/>
  <c r="D13" i="4"/>
  <c r="E13" i="4" s="1"/>
  <c r="F12" i="4"/>
  <c r="D12" i="4"/>
  <c r="E12" i="4" s="1"/>
  <c r="F11" i="4"/>
  <c r="D11" i="4"/>
  <c r="E11" i="4" s="1"/>
  <c r="F10" i="4"/>
  <c r="D10" i="4"/>
  <c r="F9" i="4"/>
  <c r="B9" i="4"/>
  <c r="R4" i="4"/>
  <c r="R3" i="4"/>
  <c r="C9" i="4" s="1"/>
  <c r="R2" i="4"/>
  <c r="E99" i="3"/>
  <c r="D99" i="3"/>
  <c r="E98" i="3"/>
  <c r="D98" i="3"/>
  <c r="E97" i="3"/>
  <c r="D97" i="3"/>
  <c r="E96" i="3"/>
  <c r="D96" i="3"/>
  <c r="E95" i="3"/>
  <c r="D95" i="3"/>
  <c r="E94" i="3"/>
  <c r="D94" i="3"/>
  <c r="E93" i="3"/>
  <c r="D93" i="3"/>
  <c r="E92" i="3"/>
  <c r="D92" i="3"/>
  <c r="E91" i="3"/>
  <c r="D91" i="3"/>
  <c r="E90" i="3"/>
  <c r="D90" i="3"/>
  <c r="E89" i="3"/>
  <c r="D89" i="3"/>
  <c r="E88" i="3"/>
  <c r="D88" i="3"/>
  <c r="E87" i="3"/>
  <c r="D87" i="3"/>
  <c r="E86" i="3"/>
  <c r="D86" i="3"/>
  <c r="E85" i="3"/>
  <c r="D85" i="3"/>
  <c r="E84" i="3"/>
  <c r="D84" i="3"/>
  <c r="E83" i="3"/>
  <c r="D83" i="3"/>
  <c r="E82" i="3"/>
  <c r="D82" i="3"/>
  <c r="E81" i="3"/>
  <c r="D81" i="3"/>
  <c r="E80" i="3"/>
  <c r="D80" i="3"/>
  <c r="E79" i="3"/>
  <c r="D79" i="3"/>
  <c r="E78" i="3"/>
  <c r="D78" i="3"/>
  <c r="E77" i="3"/>
  <c r="D77" i="3"/>
  <c r="E76" i="3"/>
  <c r="D76" i="3"/>
  <c r="E75" i="3"/>
  <c r="D75" i="3"/>
  <c r="E74" i="3"/>
  <c r="D74" i="3"/>
  <c r="E73" i="3"/>
  <c r="D73" i="3"/>
  <c r="E72" i="3"/>
  <c r="D72" i="3"/>
  <c r="E71" i="3"/>
  <c r="D71" i="3"/>
  <c r="E70" i="3"/>
  <c r="D70" i="3"/>
  <c r="E69" i="3"/>
  <c r="D69" i="3"/>
  <c r="E68" i="3"/>
  <c r="D68" i="3"/>
  <c r="E67" i="3"/>
  <c r="D67" i="3"/>
  <c r="E66" i="3"/>
  <c r="D66" i="3"/>
  <c r="E65" i="3"/>
  <c r="D65" i="3"/>
  <c r="E64" i="3"/>
  <c r="D64" i="3"/>
  <c r="E63" i="3"/>
  <c r="D63" i="3"/>
  <c r="E62" i="3"/>
  <c r="D62" i="3"/>
  <c r="E61" i="3"/>
  <c r="D61" i="3"/>
  <c r="E60" i="3"/>
  <c r="D60" i="3"/>
  <c r="E59" i="3"/>
  <c r="D59" i="3"/>
  <c r="E58" i="3"/>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J25"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J9" i="3"/>
  <c r="K8" i="3"/>
  <c r="K7" i="3"/>
  <c r="L41" i="3"/>
  <c r="K5" i="3"/>
  <c r="R2" i="3"/>
  <c r="R8" i="3" l="1"/>
  <c r="S8" i="3" s="1"/>
  <c r="N22" i="3"/>
  <c r="R9" i="3"/>
  <c r="S9" i="3" s="1"/>
  <c r="T15" i="5"/>
  <c r="AL10" i="5" a="1"/>
  <c r="AL10" i="5" s="1"/>
  <c r="AL17" i="5" a="1"/>
  <c r="AL17" i="5" s="1"/>
  <c r="R6" i="4"/>
  <c r="N6" i="3"/>
  <c r="AC31" i="5"/>
  <c r="AC5" i="5"/>
  <c r="K23" i="3"/>
  <c r="R24" i="3" s="1"/>
  <c r="S24" i="3" s="1"/>
  <c r="K40" i="3"/>
  <c r="K42" i="3" s="1"/>
  <c r="R43" i="3" s="1"/>
  <c r="S43" i="3" s="1"/>
  <c r="L23" i="3"/>
  <c r="B9" i="3"/>
  <c r="L25" i="3"/>
  <c r="L9" i="3"/>
  <c r="AC13" i="5"/>
  <c r="AC30" i="5"/>
  <c r="AC12" i="5"/>
  <c r="AC44" i="5"/>
  <c r="AC29" i="5"/>
  <c r="P55" i="5"/>
  <c r="AC42" i="5"/>
  <c r="AC25" i="5"/>
  <c r="AC23" i="5"/>
  <c r="P52" i="5"/>
  <c r="AC38" i="5"/>
  <c r="P51" i="5"/>
  <c r="AC37" i="5"/>
  <c r="AC21" i="5"/>
  <c r="P54" i="5"/>
  <c r="AC24" i="5"/>
  <c r="AC39" i="5"/>
  <c r="AC22" i="5"/>
  <c r="P50" i="5"/>
  <c r="AC34" i="5"/>
  <c r="AC20" i="5"/>
  <c r="AC33" i="5"/>
  <c r="AC41" i="5"/>
  <c r="P53" i="5"/>
  <c r="AC16" i="5"/>
  <c r="P49" i="5"/>
  <c r="AC19" i="5"/>
  <c r="AC15" i="5"/>
  <c r="AC32" i="5"/>
  <c r="AC9" i="5"/>
  <c r="AC8" i="5"/>
  <c r="AC14" i="5"/>
  <c r="P56" i="5"/>
  <c r="AC43" i="5"/>
  <c r="AC28" i="5"/>
  <c r="J29" i="3"/>
  <c r="I15" i="5"/>
  <c r="E15" i="5"/>
  <c r="AA10" i="5" a="1"/>
  <c r="AA10" i="5" s="1"/>
  <c r="AB10" i="5" s="1"/>
  <c r="AA17" i="5" a="1"/>
  <c r="AA17" i="5" s="1"/>
  <c r="J28" i="3"/>
  <c r="R8" i="4" a="1"/>
  <c r="R8" i="4" s="1"/>
  <c r="K24" i="3"/>
  <c r="R25" i="3" s="1"/>
  <c r="S25" i="3" s="1"/>
  <c r="K37" i="3"/>
  <c r="K9" i="3"/>
  <c r="R10" i="3" s="1"/>
  <c r="S10" i="3" s="1"/>
  <c r="K5" i="4"/>
  <c r="K6" i="4"/>
  <c r="X6" i="4" s="1"/>
  <c r="Y6" i="4" s="1"/>
  <c r="N6" i="4" s="1"/>
  <c r="K15" i="4"/>
  <c r="X15" i="4" s="1"/>
  <c r="Y15" i="4" s="1"/>
  <c r="L8" i="3"/>
  <c r="L40" i="3"/>
  <c r="L42" i="3"/>
  <c r="K21" i="3"/>
  <c r="J11" i="3"/>
  <c r="N38" i="3"/>
  <c r="L26" i="3"/>
  <c r="K39" i="3"/>
  <c r="R40" i="3" s="1"/>
  <c r="S40" i="3" s="1"/>
  <c r="L39" i="3"/>
  <c r="J44" i="3"/>
  <c r="L7" i="3"/>
  <c r="R41" i="3" l="1"/>
  <c r="S41" i="3" s="1"/>
  <c r="N40" i="3" s="1"/>
  <c r="AL11" i="5"/>
  <c r="AM11" i="5" s="1"/>
  <c r="AN11" i="5" s="1"/>
  <c r="P18" i="5" s="1"/>
  <c r="AM10" i="5"/>
  <c r="AN10" i="5" s="1"/>
  <c r="S17" i="5"/>
  <c r="AM17" i="5"/>
  <c r="AN17" i="5" s="1"/>
  <c r="T17" i="5" s="1"/>
  <c r="AB17" i="5"/>
  <c r="AC17" i="5" s="1"/>
  <c r="N24" i="3"/>
  <c r="N9" i="3"/>
  <c r="O18" i="5"/>
  <c r="AL18" i="5"/>
  <c r="AM18" i="5" s="1"/>
  <c r="AL4" i="5"/>
  <c r="AL23" i="5" s="1"/>
  <c r="AL5" i="5"/>
  <c r="AL22" i="5" s="1"/>
  <c r="O17" i="5"/>
  <c r="N39" i="3"/>
  <c r="J49" i="3" s="1"/>
  <c r="N7" i="3"/>
  <c r="N8" i="3"/>
  <c r="N42" i="3"/>
  <c r="J24" i="3"/>
  <c r="J26" i="3"/>
  <c r="N29" i="3"/>
  <c r="C9" i="3"/>
  <c r="J8" i="3"/>
  <c r="D9" i="3"/>
  <c r="J40" i="3"/>
  <c r="J42" i="3"/>
  <c r="J36" i="3"/>
  <c r="J45" i="3"/>
  <c r="J20" i="3"/>
  <c r="E9" i="3"/>
  <c r="J4" i="3"/>
  <c r="K41" i="3"/>
  <c r="N23" i="3"/>
  <c r="AA18" i="5"/>
  <c r="AB18" i="5" s="1"/>
  <c r="H17" i="5"/>
  <c r="AA11" i="5"/>
  <c r="AB11" i="5" s="1"/>
  <c r="D17" i="5"/>
  <c r="AA22" i="5"/>
  <c r="AA31" i="5"/>
  <c r="K25" i="3"/>
  <c r="K26" i="3"/>
  <c r="K16" i="4"/>
  <c r="X16" i="4" s="1"/>
  <c r="Y16" i="4" s="1"/>
  <c r="N16" i="4" s="1"/>
  <c r="N15" i="4"/>
  <c r="K9" i="4" s="1"/>
  <c r="K12" i="4"/>
  <c r="X12" i="4" s="1"/>
  <c r="R42" i="3" l="1"/>
  <c r="S42" i="3" s="1"/>
  <c r="N41" i="3" s="1"/>
  <c r="R26" i="3"/>
  <c r="S26" i="3" s="1"/>
  <c r="N25" i="3" s="1"/>
  <c r="R27" i="3"/>
  <c r="S27" i="3" s="1"/>
  <c r="N26" i="3" s="1"/>
  <c r="N30" i="3" s="1"/>
  <c r="I17" i="5"/>
  <c r="J30" i="3"/>
  <c r="AL24" i="5" a="1"/>
  <c r="AL24" i="5" s="1"/>
  <c r="AN18" i="5"/>
  <c r="T18" i="5" s="1"/>
  <c r="S18" i="5"/>
  <c r="P17" i="5"/>
  <c r="J12" i="3"/>
  <c r="J46" i="3"/>
  <c r="AC11" i="5"/>
  <c r="AC18" i="5"/>
  <c r="AC10" i="5"/>
  <c r="J33" i="3"/>
  <c r="D18" i="5"/>
  <c r="H18" i="5"/>
  <c r="AA26" i="5" a="1"/>
  <c r="AA26" i="5" s="1"/>
  <c r="AA34" i="5" l="1"/>
  <c r="AA35" i="5" s="1" a="1"/>
  <c r="AA35" i="5" s="1"/>
  <c r="AB35" i="5" s="1"/>
  <c r="AB26" i="5"/>
  <c r="AC26" i="5" s="1"/>
  <c r="AL47" i="5"/>
  <c r="AL52" i="5"/>
  <c r="AL37" i="5"/>
  <c r="AL39" i="5" s="1"/>
  <c r="AL40" i="5" s="1" a="1"/>
  <c r="AL40" i="5" s="1"/>
  <c r="O16" i="5" s="1"/>
  <c r="AM24" i="5"/>
  <c r="AN24" i="5" s="1"/>
  <c r="O20" i="5"/>
  <c r="AL25" i="5"/>
  <c r="AL42" i="5"/>
  <c r="AL29" i="5"/>
  <c r="AL32" i="5" s="1" a="1"/>
  <c r="AL32" i="5" s="1"/>
  <c r="I18" i="5"/>
  <c r="E17" i="5"/>
  <c r="E18" i="5"/>
  <c r="AA27" i="5"/>
  <c r="AB27" i="5" s="1"/>
  <c r="AA39" i="5"/>
  <c r="D20" i="5"/>
  <c r="C17" i="2"/>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E81" i="1" s="1"/>
  <c r="AG80" i="1"/>
  <c r="AG79" i="1"/>
  <c r="AG78" i="1"/>
  <c r="AG77" i="1"/>
  <c r="AG76" i="1"/>
  <c r="AG75" i="1"/>
  <c r="AG74" i="1"/>
  <c r="AG73" i="1"/>
  <c r="AG72" i="1"/>
  <c r="AG71" i="1"/>
  <c r="AG70" i="1"/>
  <c r="AG69" i="1"/>
  <c r="AG68" i="1"/>
  <c r="AG67" i="1"/>
  <c r="C53" i="1"/>
  <c r="AF50" i="1"/>
  <c r="AF49" i="1"/>
  <c r="AF48" i="1"/>
  <c r="BA34" i="1"/>
  <c r="AY34" i="1"/>
  <c r="BA33" i="1"/>
  <c r="AY33" i="1"/>
  <c r="AM31" i="1"/>
  <c r="AL31" i="1"/>
  <c r="AK31" i="1"/>
  <c r="AI31" i="1"/>
  <c r="AH31" i="1"/>
  <c r="AG31" i="1"/>
  <c r="AM29" i="1"/>
  <c r="AL29" i="1"/>
  <c r="AK29" i="1"/>
  <c r="AI29" i="1"/>
  <c r="AH29" i="1"/>
  <c r="AG29" i="1"/>
  <c r="AM27" i="1"/>
  <c r="AL27" i="1"/>
  <c r="AK27" i="1"/>
  <c r="AI27" i="1"/>
  <c r="AH27" i="1"/>
  <c r="AG27" i="1"/>
  <c r="AF20" i="1"/>
  <c r="AF19" i="1"/>
  <c r="BY18" i="1"/>
  <c r="BX18" i="1"/>
  <c r="BQ18" i="1"/>
  <c r="AJ17" i="1"/>
  <c r="AH17" i="1"/>
  <c r="AG17" i="1"/>
  <c r="BL17" i="1" s="1"/>
  <c r="AF17" i="1"/>
  <c r="BM17" i="1" s="1"/>
  <c r="CD16" i="1"/>
  <c r="BY16" i="1"/>
  <c r="BX16" i="1"/>
  <c r="BN16" i="1"/>
  <c r="BM16" i="1"/>
  <c r="AS16" i="1"/>
  <c r="AR16" i="1"/>
  <c r="AQ16" i="1"/>
  <c r="CD15" i="1"/>
  <c r="AJ15" i="1"/>
  <c r="CA15" i="1" s="1"/>
  <c r="AH15" i="1"/>
  <c r="AL15" i="1" s="1"/>
  <c r="AG15" i="1"/>
  <c r="AF15" i="1"/>
  <c r="AZ15" i="1" s="1"/>
  <c r="B15" i="1"/>
  <c r="CD14" i="1"/>
  <c r="BY14" i="1"/>
  <c r="BX14" i="1"/>
  <c r="BN14" i="1"/>
  <c r="BM14" i="1"/>
  <c r="AS14" i="1"/>
  <c r="AR14" i="1"/>
  <c r="AQ14" i="1"/>
  <c r="B14" i="1"/>
  <c r="CD13" i="1"/>
  <c r="AX13" i="1"/>
  <c r="AJ13" i="1"/>
  <c r="AH13" i="1"/>
  <c r="AL13" i="1" s="1"/>
  <c r="AG13" i="1"/>
  <c r="AF13" i="1"/>
  <c r="BM13" i="1" s="1"/>
  <c r="CD12" i="1"/>
  <c r="BY12" i="1"/>
  <c r="BX12" i="1"/>
  <c r="CD11" i="1"/>
  <c r="BY11" i="1"/>
  <c r="BX11" i="1"/>
  <c r="BM11" i="1"/>
  <c r="BL11" i="1"/>
  <c r="BK11" i="1"/>
  <c r="AS11" i="1"/>
  <c r="AR11" i="1"/>
  <c r="AQ11" i="1"/>
  <c r="CD10" i="1"/>
  <c r="BY10" i="1"/>
  <c r="BX10" i="1"/>
  <c r="BM10" i="1"/>
  <c r="BK10" i="1"/>
  <c r="AS10" i="1"/>
  <c r="AR10" i="1"/>
  <c r="AQ10" i="1"/>
  <c r="CD9" i="1"/>
  <c r="AJ9" i="1"/>
  <c r="BJ9" i="1" s="1"/>
  <c r="AH9" i="1"/>
  <c r="AG9" i="1"/>
  <c r="AF9" i="1"/>
  <c r="AZ9" i="1" s="1"/>
  <c r="CD8" i="1"/>
  <c r="BY8" i="1"/>
  <c r="BX8" i="1"/>
  <c r="BN8" i="1"/>
  <c r="BM8" i="1"/>
  <c r="BE8" i="1"/>
  <c r="AS8" i="1"/>
  <c r="AR8" i="1"/>
  <c r="AQ8" i="1"/>
  <c r="CD7" i="1"/>
  <c r="AJ7" i="1"/>
  <c r="AK7" i="1" s="1"/>
  <c r="AH7" i="1"/>
  <c r="AL7" i="1" s="1"/>
  <c r="AG7" i="1"/>
  <c r="AF7" i="1"/>
  <c r="AM7" i="1" s="1"/>
  <c r="CD6" i="1"/>
  <c r="BY6" i="1"/>
  <c r="BX6" i="1"/>
  <c r="BN6" i="1"/>
  <c r="BM6" i="1"/>
  <c r="AS6" i="1"/>
  <c r="AR6" i="1"/>
  <c r="AQ6" i="1"/>
  <c r="CD5" i="1"/>
  <c r="AX5" i="1"/>
  <c r="AJ5" i="1"/>
  <c r="BJ5" i="1" s="1"/>
  <c r="AH5" i="1"/>
  <c r="AL5" i="1" s="1"/>
  <c r="AG5" i="1"/>
  <c r="AF5" i="1"/>
  <c r="BI5" i="1" s="1"/>
  <c r="BX4" i="1"/>
  <c r="BM4" i="1"/>
  <c r="BX3" i="1"/>
  <c r="CE2" i="1"/>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F41" i="2"/>
  <c r="BP36" i="2"/>
  <c r="C31" i="2"/>
  <c r="E16" i="2"/>
  <c r="E15" i="2"/>
  <c r="J16" i="2"/>
  <c r="E14" i="2"/>
  <c r="J15" i="2"/>
  <c r="E13" i="2"/>
  <c r="J14" i="2"/>
  <c r="E12" i="2"/>
  <c r="J13" i="2"/>
  <c r="E11" i="2"/>
  <c r="J12" i="2"/>
  <c r="J11" i="2"/>
  <c r="J10" i="2"/>
  <c r="E10" i="2" s="1"/>
  <c r="J9" i="2"/>
  <c r="E9" i="2" s="1"/>
  <c r="J8" i="2"/>
  <c r="E8" i="2" s="1"/>
  <c r="J7" i="2"/>
  <c r="E7" i="2" s="1"/>
  <c r="J6" i="2"/>
  <c r="E6" i="2" s="1"/>
  <c r="J5" i="2"/>
  <c r="E5" i="2" s="1"/>
  <c r="J4" i="2"/>
  <c r="E4" i="2" s="1"/>
  <c r="AN5" i="1" l="1" a="1"/>
  <c r="AN5" i="1" s="1"/>
  <c r="AL54" i="5"/>
  <c r="AL55" i="5" s="1" a="1"/>
  <c r="AL55" i="5" s="1"/>
  <c r="AL49" i="5"/>
  <c r="AL50" i="5" s="1" a="1"/>
  <c r="AL50" i="5" s="1"/>
  <c r="AL44" i="5"/>
  <c r="AL45" i="5" s="1" a="1"/>
  <c r="AL45" i="5" s="1"/>
  <c r="S16" i="5" s="1"/>
  <c r="S20" i="5"/>
  <c r="AM32" i="5"/>
  <c r="AN32" i="5" s="1"/>
  <c r="AM25" i="5"/>
  <c r="AN25" i="5" s="1"/>
  <c r="P19" i="5" s="1"/>
  <c r="AM40" i="5"/>
  <c r="AN40" i="5" s="1"/>
  <c r="P16" i="5" s="1"/>
  <c r="O19" i="5"/>
  <c r="AL33" i="5"/>
  <c r="P20" i="5"/>
  <c r="BX17" i="1"/>
  <c r="AL17" i="1"/>
  <c r="BY9" i="1"/>
  <c r="AL9" i="1"/>
  <c r="AK13" i="2"/>
  <c r="AL13" i="2"/>
  <c r="AK16" i="2"/>
  <c r="AL16" i="2"/>
  <c r="AL14" i="2"/>
  <c r="AK14" i="2"/>
  <c r="AK17" i="2"/>
  <c r="AL17" i="2"/>
  <c r="AK11" i="2"/>
  <c r="AL11" i="2"/>
  <c r="AK15" i="2"/>
  <c r="AL15" i="2"/>
  <c r="AK12" i="2"/>
  <c r="AL12" i="2"/>
  <c r="AL18" i="2"/>
  <c r="AK18" i="2"/>
  <c r="P11" i="2"/>
  <c r="X11" i="2" s="1"/>
  <c r="W11" i="2"/>
  <c r="S11" i="2" a="1"/>
  <c r="S11" i="2" s="1"/>
  <c r="T11" i="2"/>
  <c r="U11" i="2"/>
  <c r="V11" i="2"/>
  <c r="R11" i="2"/>
  <c r="N14" i="2"/>
  <c r="V14" i="2"/>
  <c r="R14" i="2"/>
  <c r="T14" i="2"/>
  <c r="W14" i="2"/>
  <c r="S14" i="2" a="1"/>
  <c r="S14" i="2" s="1"/>
  <c r="U14" i="2"/>
  <c r="W12" i="2"/>
  <c r="S12" i="2" a="1"/>
  <c r="S12" i="2" s="1"/>
  <c r="T12" i="2"/>
  <c r="U12" i="2"/>
  <c r="V12" i="2"/>
  <c r="R12" i="2"/>
  <c r="Y15" i="2"/>
  <c r="U15" i="2"/>
  <c r="V15" i="2"/>
  <c r="R15" i="2"/>
  <c r="W15" i="2"/>
  <c r="S15" i="2" a="1"/>
  <c r="S15" i="2" s="1"/>
  <c r="T15" i="2"/>
  <c r="Z13" i="2"/>
  <c r="V13" i="2"/>
  <c r="R13" i="2"/>
  <c r="W13" i="2"/>
  <c r="S13" i="2" a="1"/>
  <c r="S13" i="2" s="1"/>
  <c r="T13" i="2"/>
  <c r="U13" i="2"/>
  <c r="P16" i="2"/>
  <c r="X16" i="2" s="1"/>
  <c r="S16" i="2" a="1"/>
  <c r="S16" i="2" s="1"/>
  <c r="U16" i="2"/>
  <c r="V16" i="2"/>
  <c r="R16" i="2"/>
  <c r="W16" i="2"/>
  <c r="T16" i="2"/>
  <c r="Q12" i="2"/>
  <c r="AB12" i="2"/>
  <c r="AK13" i="1"/>
  <c r="N17" i="1" s="1"/>
  <c r="BY15" i="1"/>
  <c r="AN7" i="1" a="1"/>
  <c r="AN7" i="1" s="1"/>
  <c r="Q11" i="2"/>
  <c r="AB11" i="2"/>
  <c r="AO9" i="1" a="1"/>
  <c r="AO9" i="1" s="1"/>
  <c r="BI9" i="1"/>
  <c r="BJ15" i="1"/>
  <c r="BL9" i="1"/>
  <c r="BM7" i="1"/>
  <c r="AZ7" i="1"/>
  <c r="AZ5" i="1"/>
  <c r="AI9" i="1"/>
  <c r="AG26" i="1" s="1"/>
  <c r="BM5" i="1"/>
  <c r="AN9" i="1" a="1"/>
  <c r="AN9" i="1" s="1"/>
  <c r="AN15" i="1" a="1"/>
  <c r="AN15" i="1" s="1"/>
  <c r="BX9" i="1"/>
  <c r="BI7" i="1"/>
  <c r="BX7" i="1" s="1"/>
  <c r="BY17" i="1"/>
  <c r="BH7" i="1"/>
  <c r="CA7" i="1"/>
  <c r="AK15" i="1"/>
  <c r="BN15" i="1" s="1"/>
  <c r="AM5" i="1"/>
  <c r="BM9" i="1"/>
  <c r="AO15" i="1" a="1"/>
  <c r="AO15" i="1" s="1"/>
  <c r="AA40" i="5" a="1"/>
  <c r="AA40" i="5" s="1"/>
  <c r="AB40" i="5" s="1"/>
  <c r="I7" i="2"/>
  <c r="I8" i="2"/>
  <c r="I10" i="2"/>
  <c r="I13" i="2"/>
  <c r="Q14" i="2"/>
  <c r="I11" i="2"/>
  <c r="I12" i="2"/>
  <c r="L7" i="2"/>
  <c r="L8" i="2"/>
  <c r="L10" i="2"/>
  <c r="N10" i="2" s="1"/>
  <c r="K11" i="2"/>
  <c r="K12" i="2"/>
  <c r="L13" i="2"/>
  <c r="K9" i="2"/>
  <c r="L11" i="2"/>
  <c r="L12" i="2"/>
  <c r="O13" i="2"/>
  <c r="K7" i="2"/>
  <c r="K8" i="2"/>
  <c r="K10" i="2"/>
  <c r="K13" i="2"/>
  <c r="L9" i="2"/>
  <c r="N9" i="2" s="1"/>
  <c r="O11" i="2"/>
  <c r="O12" i="2"/>
  <c r="Q13" i="2"/>
  <c r="K15" i="2"/>
  <c r="AB13" i="2"/>
  <c r="Z11" i="2"/>
  <c r="Z12" i="2"/>
  <c r="I14" i="2"/>
  <c r="E20" i="5"/>
  <c r="AA44" i="5"/>
  <c r="AA45" i="5" s="1" a="1"/>
  <c r="AA45" i="5" s="1"/>
  <c r="AB45" i="5" s="1"/>
  <c r="AA36" i="5"/>
  <c r="AB36" i="5" s="1"/>
  <c r="H20" i="5"/>
  <c r="AC35" i="5"/>
  <c r="AC27" i="5"/>
  <c r="E19" i="5" s="1"/>
  <c r="D19" i="5"/>
  <c r="AO13" i="1" a="1"/>
  <c r="AO13" i="1" s="1"/>
  <c r="AK9" i="1"/>
  <c r="BN9" i="1" s="1"/>
  <c r="AK5" i="1"/>
  <c r="AM9" i="1"/>
  <c r="BI15" i="1"/>
  <c r="CG2" i="1" s="1"/>
  <c r="AI17" i="1"/>
  <c r="AZ17" i="1"/>
  <c r="BM15" i="1"/>
  <c r="H17" i="1"/>
  <c r="AM17" i="1"/>
  <c r="BI17" i="1"/>
  <c r="CA17" i="1"/>
  <c r="CA13" i="1"/>
  <c r="BX5" i="1"/>
  <c r="AO7" i="1" a="1"/>
  <c r="AO7" i="1" s="1"/>
  <c r="AM13" i="1"/>
  <c r="BH5" i="1"/>
  <c r="CA5" i="1"/>
  <c r="AN13" i="1" a="1"/>
  <c r="AN13" i="1" s="1"/>
  <c r="AZ13" i="1"/>
  <c r="AN17" i="1" a="1"/>
  <c r="AN17" i="1" s="1"/>
  <c r="BJ17" i="1"/>
  <c r="BY5" i="1"/>
  <c r="BH9" i="1"/>
  <c r="CA9" i="1"/>
  <c r="BI13" i="1"/>
  <c r="CG1" i="1" s="1"/>
  <c r="AG20" i="1"/>
  <c r="AO5" i="1" a="1"/>
  <c r="AO5" i="1" s="1"/>
  <c r="BJ13" i="1"/>
  <c r="AO17" i="1" a="1"/>
  <c r="AO17" i="1" s="1"/>
  <c r="AK17" i="1"/>
  <c r="BN17" i="1" s="1"/>
  <c r="AU4" i="1"/>
  <c r="BJ7" i="1"/>
  <c r="AM15" i="1"/>
  <c r="O14" i="2"/>
  <c r="I15" i="2"/>
  <c r="Q16" i="2"/>
  <c r="L4" i="2"/>
  <c r="N12" i="2"/>
  <c r="Y13" i="2"/>
  <c r="P14" i="2"/>
  <c r="X14" i="2" s="1"/>
  <c r="Z16" i="2"/>
  <c r="I6" i="2"/>
  <c r="Y11" i="2"/>
  <c r="P12" i="2"/>
  <c r="X12" i="2" s="1"/>
  <c r="Z14" i="2"/>
  <c r="L15" i="2"/>
  <c r="AB16" i="2"/>
  <c r="K4" i="2"/>
  <c r="N15" i="2"/>
  <c r="Y16" i="2"/>
  <c r="K6" i="2"/>
  <c r="I16" i="2"/>
  <c r="AB14" i="2"/>
  <c r="O15" i="2"/>
  <c r="L6" i="2"/>
  <c r="I9" i="2"/>
  <c r="N13" i="2"/>
  <c r="Y14" i="2"/>
  <c r="P15" i="2"/>
  <c r="X15" i="2" s="1"/>
  <c r="Q15" i="2"/>
  <c r="K16" i="2"/>
  <c r="I5" i="2"/>
  <c r="N11" i="2"/>
  <c r="Y12" i="2"/>
  <c r="P13" i="2"/>
  <c r="X13" i="2" s="1"/>
  <c r="Z15" i="2"/>
  <c r="L16" i="2"/>
  <c r="K14" i="2"/>
  <c r="N16" i="2"/>
  <c r="I4" i="2"/>
  <c r="L5" i="2"/>
  <c r="L14" i="2"/>
  <c r="AB15" i="2"/>
  <c r="O16" i="2"/>
  <c r="K5" i="2"/>
  <c r="C3" i="1" l="1"/>
  <c r="BN5" i="1"/>
  <c r="I20" i="5"/>
  <c r="AM55" i="5"/>
  <c r="AN55" i="5" s="1"/>
  <c r="T21" i="5" s="1"/>
  <c r="S21" i="5"/>
  <c r="AM50" i="5"/>
  <c r="AN50" i="5" s="1"/>
  <c r="P21" i="5" s="1"/>
  <c r="O21" i="5"/>
  <c r="AM45" i="5"/>
  <c r="AN45" i="5" s="1"/>
  <c r="T16" i="5" s="1"/>
  <c r="T20" i="5"/>
  <c r="AM33" i="5"/>
  <c r="AN33" i="5" s="1"/>
  <c r="T19" i="5" s="1"/>
  <c r="S19" i="5"/>
  <c r="BB4" i="1"/>
  <c r="BN13" i="1"/>
  <c r="N5" i="2"/>
  <c r="N4" i="2"/>
  <c r="N8" i="2"/>
  <c r="N7" i="2"/>
  <c r="BY7" i="1"/>
  <c r="BS26" i="1" s="1"/>
  <c r="AI7" i="1"/>
  <c r="BN7" i="1"/>
  <c r="BX15" i="1"/>
  <c r="AI15" i="1"/>
  <c r="AR9" i="1"/>
  <c r="AX42" i="1" s="1"/>
  <c r="BB6" i="1"/>
  <c r="BX1" i="1"/>
  <c r="BY13" i="1"/>
  <c r="AI5" i="1"/>
  <c r="BD8" i="1" s="1"/>
  <c r="AG30" i="1"/>
  <c r="BR9" i="1" s="1"/>
  <c r="BB9" i="1" s="1"/>
  <c r="N6" i="2"/>
  <c r="AQ9" i="1"/>
  <c r="AW42" i="1" s="1"/>
  <c r="AP9" i="1"/>
  <c r="AV42" i="1" s="1"/>
  <c r="AS9" i="1"/>
  <c r="AG25" i="1"/>
  <c r="P17" i="1"/>
  <c r="F17" i="1"/>
  <c r="BR5" i="1"/>
  <c r="BB5" i="1" s="1"/>
  <c r="R17" i="1"/>
  <c r="C2" i="1"/>
  <c r="J17" i="1"/>
  <c r="AG28" i="1"/>
  <c r="BK9" i="1"/>
  <c r="I7" i="1"/>
  <c r="BB8" i="1"/>
  <c r="D16" i="5"/>
  <c r="AC36" i="5"/>
  <c r="I19" i="5" s="1"/>
  <c r="H19" i="5"/>
  <c r="I16" i="5"/>
  <c r="AC45" i="5"/>
  <c r="H16" i="5"/>
  <c r="AC40" i="5"/>
  <c r="E16" i="5" s="1"/>
  <c r="AI13" i="1"/>
  <c r="AK25" i="1" s="1"/>
  <c r="AR17" i="1"/>
  <c r="AX50" i="1" s="1"/>
  <c r="BH6" i="1"/>
  <c r="AQ17" i="1"/>
  <c r="AP17" i="1"/>
  <c r="BH4" i="1"/>
  <c r="BK17" i="1"/>
  <c r="BH8" i="1"/>
  <c r="AM25" i="1"/>
  <c r="R13" i="1" s="1"/>
  <c r="T7" i="1"/>
  <c r="AM28" i="1"/>
  <c r="BR8" i="1" s="1"/>
  <c r="AM26" i="1"/>
  <c r="BR6" i="1" s="1"/>
  <c r="AM30" i="1"/>
  <c r="BR10" i="1" s="1"/>
  <c r="AS17" i="1"/>
  <c r="AU13" i="1"/>
  <c r="BU26" i="1"/>
  <c r="C12" i="1" s="1"/>
  <c r="BX13" i="1"/>
  <c r="AV4" i="1"/>
  <c r="AT10" i="1" s="1"/>
  <c r="AS15" i="1" l="1"/>
  <c r="Q7" i="1"/>
  <c r="AP7" i="1"/>
  <c r="AV40" i="1" s="1"/>
  <c r="G2" i="1"/>
  <c r="BP27" i="1"/>
  <c r="AD2" i="2"/>
  <c r="AE10" i="2" s="1"/>
  <c r="AR7" i="1"/>
  <c r="AX40" i="1" s="1"/>
  <c r="BC4" i="1"/>
  <c r="BC6" i="1"/>
  <c r="AQ7" i="1"/>
  <c r="AW40" i="1" s="1"/>
  <c r="F7" i="1"/>
  <c r="AH25" i="1"/>
  <c r="H13" i="1" s="1"/>
  <c r="BC8" i="1"/>
  <c r="AS7" i="1"/>
  <c r="BY19" i="1"/>
  <c r="BK7" i="1"/>
  <c r="BL7" i="1" s="1"/>
  <c r="AP15" i="1"/>
  <c r="AV48" i="1" s="1"/>
  <c r="AQ15" i="1"/>
  <c r="AW48" i="1" s="1"/>
  <c r="AL25" i="1"/>
  <c r="P13" i="1" s="1"/>
  <c r="BG8" i="1"/>
  <c r="BG4" i="1"/>
  <c r="BG6" i="1"/>
  <c r="AR15" i="1"/>
  <c r="AX48" i="1" s="1"/>
  <c r="BK15" i="1"/>
  <c r="BL15" i="1" s="1"/>
  <c r="AV13" i="1"/>
  <c r="AW13" i="1" s="1"/>
  <c r="AS5" i="1"/>
  <c r="CJ1" i="1" s="1"/>
  <c r="AI25" i="1"/>
  <c r="J13" i="1" s="1"/>
  <c r="BK5" i="1"/>
  <c r="BL5" i="1" s="1"/>
  <c r="BD4" i="1"/>
  <c r="C7" i="1"/>
  <c r="AP5" i="1"/>
  <c r="AV38" i="1" s="1"/>
  <c r="AQ5" i="1"/>
  <c r="AW38" i="1" s="1"/>
  <c r="AR5" i="1"/>
  <c r="AX38" i="1" s="1"/>
  <c r="BD6" i="1"/>
  <c r="F13" i="1"/>
  <c r="AS13" i="1"/>
  <c r="BF4" i="1"/>
  <c r="BK13" i="1"/>
  <c r="BL13" i="1" s="1"/>
  <c r="AP13" i="1"/>
  <c r="AV46" i="1" s="1"/>
  <c r="F15" i="1"/>
  <c r="F14" i="1"/>
  <c r="F16" i="1"/>
  <c r="BF8" i="1"/>
  <c r="N7" i="1"/>
  <c r="BR7" i="1"/>
  <c r="BB7" i="1" s="1"/>
  <c r="BF6" i="1"/>
  <c r="AQ13" i="1"/>
  <c r="AW46" i="1" s="1"/>
  <c r="AR13" i="1"/>
  <c r="AX46" i="1" s="1"/>
  <c r="N13" i="1"/>
  <c r="BX19" i="1"/>
  <c r="BS27" i="1"/>
  <c r="R16" i="1"/>
  <c r="R14" i="1"/>
  <c r="R15" i="1"/>
  <c r="AT11" i="1"/>
  <c r="B26" i="1"/>
  <c r="AE36" i="1"/>
  <c r="B25" i="1" s="1"/>
  <c r="AL28" i="1" l="1"/>
  <c r="BQ8" i="1" s="1"/>
  <c r="BG7" i="1" s="1"/>
  <c r="AI28" i="1"/>
  <c r="J15" i="1" s="1"/>
  <c r="AL26" i="1"/>
  <c r="BQ6" i="1" s="1"/>
  <c r="BG5" i="1" s="1"/>
  <c r="AI26" i="1"/>
  <c r="J14" i="1" s="1"/>
  <c r="AK30" i="1"/>
  <c r="BP10" i="1" s="1"/>
  <c r="BF9" i="1" s="1"/>
  <c r="AL30" i="1"/>
  <c r="BQ10" i="1" s="1"/>
  <c r="BG9" i="1" s="1"/>
  <c r="AH30" i="1"/>
  <c r="BQ9" i="1" s="1"/>
  <c r="BC9" i="1" s="1"/>
  <c r="AH28" i="1"/>
  <c r="BQ7" i="1" s="1"/>
  <c r="BC7" i="1" s="1"/>
  <c r="AK26" i="1"/>
  <c r="AI30" i="1"/>
  <c r="BP9" i="1" s="1"/>
  <c r="BD9" i="1" s="1"/>
  <c r="AK28" i="1"/>
  <c r="AH26" i="1"/>
  <c r="BQ5" i="1" s="1"/>
  <c r="BC5" i="1" s="1"/>
  <c r="P10" i="2"/>
  <c r="X10" i="2" s="1"/>
  <c r="P9" i="2"/>
  <c r="X9" i="2" s="1"/>
  <c r="P8" i="2"/>
  <c r="X8" i="2" s="1"/>
  <c r="P7" i="2"/>
  <c r="X7" i="2" s="1"/>
  <c r="AE6" i="2"/>
  <c r="P6" i="2"/>
  <c r="X6" i="2" s="1"/>
  <c r="P4" i="2"/>
  <c r="X4" i="2" s="1"/>
  <c r="AE11" i="2"/>
  <c r="AE4" i="2"/>
  <c r="P5" i="2"/>
  <c r="AE9" i="2"/>
  <c r="AE8" i="2"/>
  <c r="AE13" i="2"/>
  <c r="AE7" i="2"/>
  <c r="AE2" i="2"/>
  <c r="AE12" i="2"/>
  <c r="AE5" i="2"/>
  <c r="AE14" i="2"/>
  <c r="AE3" i="2"/>
  <c r="Q9" i="2"/>
  <c r="Q10" i="2"/>
  <c r="AU19" i="1"/>
  <c r="AW19" i="1" s="1"/>
  <c r="AH39" i="1" s="1"/>
  <c r="F28" i="1" s="1"/>
  <c r="P14" i="1"/>
  <c r="P15" i="1"/>
  <c r="AM32" i="1"/>
  <c r="BO26" i="1" a="1"/>
  <c r="BO26" i="1" s="1"/>
  <c r="BP26" i="1"/>
  <c r="BP29" i="1" s="1"/>
  <c r="N16" i="1"/>
  <c r="B11" i="1"/>
  <c r="B10" i="1"/>
  <c r="N15" i="1"/>
  <c r="B9" i="1"/>
  <c r="E14" i="1"/>
  <c r="E16" i="1"/>
  <c r="E15" i="1"/>
  <c r="X5" i="2" l="1"/>
  <c r="Y5" i="2" s="1" a="1"/>
  <c r="Y5" i="2" s="1"/>
  <c r="BG26" i="1"/>
  <c r="BD26" i="1"/>
  <c r="N14" i="1"/>
  <c r="BP7" i="1"/>
  <c r="BF27" i="1" s="1"/>
  <c r="H14" i="1"/>
  <c r="H16" i="1"/>
  <c r="H15" i="1"/>
  <c r="AX7" i="1"/>
  <c r="BF30" i="1"/>
  <c r="BP6" i="1"/>
  <c r="BF5" i="1" s="1"/>
  <c r="BP8" i="1"/>
  <c r="BF7" i="1" s="1"/>
  <c r="BJ27" i="1"/>
  <c r="BP5" i="1"/>
  <c r="BD5" i="1" s="1"/>
  <c r="J16" i="1"/>
  <c r="P16" i="1"/>
  <c r="BJ26" i="1"/>
  <c r="AX8" i="1"/>
  <c r="AE37" i="1" s="1"/>
  <c r="AX6" i="1"/>
  <c r="BI26" i="1"/>
  <c r="BF26" i="1"/>
  <c r="AX53" i="1"/>
  <c r="AV53" i="1"/>
  <c r="BC26" i="1"/>
  <c r="AW53" i="1"/>
  <c r="AG40" i="1"/>
  <c r="D29" i="1" s="1"/>
  <c r="Q6" i="2"/>
  <c r="R6" i="2" s="1"/>
  <c r="Y6" i="2" a="1"/>
  <c r="Y6" i="2" s="1"/>
  <c r="Q7" i="2"/>
  <c r="R7" i="2" s="1"/>
  <c r="Y7" i="2" a="1"/>
  <c r="Y7" i="2" s="1"/>
  <c r="Q8" i="2"/>
  <c r="R8" i="2" s="1"/>
  <c r="Y8" i="2" a="1"/>
  <c r="Y8" i="2" s="1"/>
  <c r="Q4" i="2"/>
  <c r="Y4" i="2" a="1"/>
  <c r="Y4" i="2" s="1"/>
  <c r="O8" i="2"/>
  <c r="O9" i="2"/>
  <c r="O10" i="2"/>
  <c r="Y10" i="2"/>
  <c r="R10" i="2"/>
  <c r="S10" i="2" a="1"/>
  <c r="S10" i="2" s="1"/>
  <c r="T10" i="2" s="1"/>
  <c r="Y9" i="2"/>
  <c r="R9" i="2"/>
  <c r="S9" i="2" a="1"/>
  <c r="S9" i="2" s="1"/>
  <c r="O7" i="2"/>
  <c r="O5" i="2"/>
  <c r="O4" i="2"/>
  <c r="O6" i="2"/>
  <c r="Q5" i="2"/>
  <c r="AM39" i="1"/>
  <c r="N28" i="1" s="1"/>
  <c r="BI27" i="1"/>
  <c r="AG39" i="1"/>
  <c r="D28" i="1" s="1"/>
  <c r="AU8" i="1"/>
  <c r="S7" i="2" a="1"/>
  <c r="BC27" i="1" l="1"/>
  <c r="BD7" i="1"/>
  <c r="AU7" i="1" s="1"/>
  <c r="BC34" i="1" s="1"/>
  <c r="AU6" i="1"/>
  <c r="BC33" i="1" s="1"/>
  <c r="BD27" i="1"/>
  <c r="AX12" i="1"/>
  <c r="BG27" i="1"/>
  <c r="AX10" i="1"/>
  <c r="S8" i="2" a="1"/>
  <c r="S8" i="2" s="1"/>
  <c r="T8" i="2" s="1"/>
  <c r="R4" i="2"/>
  <c r="Z4" i="2"/>
  <c r="T9" i="2"/>
  <c r="S7" i="2"/>
  <c r="T7" i="2" s="1"/>
  <c r="R5" i="2"/>
  <c r="AV8" i="1"/>
  <c r="AU9" i="1"/>
  <c r="AV9" i="1" s="1"/>
  <c r="S6" i="2" a="1"/>
  <c r="S5" i="2" a="1"/>
  <c r="S4" i="2" a="1"/>
  <c r="AV6" i="1" l="1"/>
  <c r="AX33" i="1" s="1"/>
  <c r="AX14" i="1"/>
  <c r="CE15" i="1"/>
  <c r="CF15" i="1" s="1"/>
  <c r="CG15" i="1" s="1"/>
  <c r="CH15" i="1" s="1"/>
  <c r="BP16" i="1"/>
  <c r="BR16" i="1" s="1"/>
  <c r="CE16" i="1"/>
  <c r="CF16" i="1" s="1"/>
  <c r="CG16" i="1" s="1"/>
  <c r="CH16" i="1" s="1"/>
  <c r="BP18" i="1"/>
  <c r="BR18" i="1" s="1"/>
  <c r="CE5" i="1"/>
  <c r="CF5" i="1" s="1"/>
  <c r="CG5" i="1" s="1"/>
  <c r="CH5" i="1" s="1"/>
  <c r="CE14" i="1"/>
  <c r="CF14" i="1" s="1"/>
  <c r="CG14" i="1" s="1"/>
  <c r="CH14" i="1" s="1"/>
  <c r="AV7" i="1"/>
  <c r="CE9" i="1"/>
  <c r="CF9" i="1" s="1"/>
  <c r="CG9" i="1" s="1"/>
  <c r="CH9" i="1" s="1"/>
  <c r="CE8" i="1"/>
  <c r="CF8" i="1" s="1"/>
  <c r="CG8" i="1" s="1"/>
  <c r="CH8" i="1" s="1"/>
  <c r="AU11" i="1"/>
  <c r="AU10" i="1" s="1"/>
  <c r="CE11" i="1"/>
  <c r="CF11" i="1" s="1"/>
  <c r="CG11" i="1" s="1"/>
  <c r="CH11" i="1" s="1"/>
  <c r="CE13" i="1"/>
  <c r="CF13" i="1" s="1"/>
  <c r="CG13" i="1" s="1"/>
  <c r="CH13" i="1" s="1"/>
  <c r="AU12" i="1"/>
  <c r="AV12" i="1" s="1"/>
  <c r="AW12" i="1" s="1"/>
  <c r="AG38" i="1" s="1"/>
  <c r="CE6" i="1"/>
  <c r="CF6" i="1" s="1"/>
  <c r="CG6" i="1" s="1"/>
  <c r="CH6" i="1" s="1"/>
  <c r="CE12" i="1"/>
  <c r="CF12" i="1" s="1"/>
  <c r="CG12" i="1" s="1"/>
  <c r="CH12" i="1" s="1"/>
  <c r="CE7" i="1"/>
  <c r="CF7" i="1" s="1"/>
  <c r="CG7" i="1" s="1"/>
  <c r="CH7" i="1" s="1"/>
  <c r="CE10" i="1"/>
  <c r="CF10" i="1" s="1"/>
  <c r="CG10" i="1" s="1"/>
  <c r="CH10" i="1" s="1"/>
  <c r="AK6" i="2"/>
  <c r="S6" i="2"/>
  <c r="T6" i="2" s="1"/>
  <c r="S4" i="2"/>
  <c r="T4" i="2" s="1"/>
  <c r="Z9" i="2"/>
  <c r="AA9" i="2" s="1"/>
  <c r="Z10" i="2"/>
  <c r="AA10" i="2" s="1"/>
  <c r="Z8" i="2"/>
  <c r="Z7" i="2"/>
  <c r="Z6" i="2"/>
  <c r="S5" i="2"/>
  <c r="T5" i="2" s="1"/>
  <c r="AA14" i="2"/>
  <c r="AA13" i="2"/>
  <c r="AA15" i="2"/>
  <c r="Z5" i="2"/>
  <c r="AA11" i="2"/>
  <c r="AA16" i="2"/>
  <c r="AA12" i="2"/>
  <c r="AB9" i="2"/>
  <c r="AA4" i="2"/>
  <c r="AB4" i="2"/>
  <c r="AU15" i="1"/>
  <c r="AV15" i="1" s="1"/>
  <c r="AW15" i="1" s="1"/>
  <c r="AW9" i="1"/>
  <c r="AW8" i="1"/>
  <c r="AG35" i="1" s="1"/>
  <c r="AZ34" i="1" l="1"/>
  <c r="AX34" i="1"/>
  <c r="AH34" i="1" s="1"/>
  <c r="F23" i="1" s="1"/>
  <c r="AU14" i="1"/>
  <c r="AV14" i="1" s="1"/>
  <c r="AW14" i="1" s="1"/>
  <c r="AW6" i="1"/>
  <c r="AG33" i="1" s="1"/>
  <c r="D22" i="1" s="1"/>
  <c r="AZ33" i="1"/>
  <c r="AH33" i="1" s="1"/>
  <c r="F22" i="1" s="1"/>
  <c r="AV11" i="1"/>
  <c r="AW11" i="1" s="1"/>
  <c r="AW7" i="1"/>
  <c r="AG34" i="1" s="1"/>
  <c r="D23" i="1" s="1"/>
  <c r="AA7" i="2"/>
  <c r="AK9" i="2"/>
  <c r="AA5" i="2"/>
  <c r="AK7" i="2"/>
  <c r="AK10" i="2"/>
  <c r="AA6" i="2"/>
  <c r="AK8" i="2"/>
  <c r="U5" i="2"/>
  <c r="V5" i="2" s="1"/>
  <c r="AB8" i="2"/>
  <c r="AA8" i="2"/>
  <c r="AB10" i="2"/>
  <c r="U10" i="2"/>
  <c r="U8" i="2"/>
  <c r="W8" i="2" s="1"/>
  <c r="U9" i="2"/>
  <c r="AB7" i="2"/>
  <c r="AB6" i="2"/>
  <c r="U7" i="2"/>
  <c r="W7" i="2" s="1"/>
  <c r="U4" i="2"/>
  <c r="V4" i="2" s="1"/>
  <c r="U6" i="2"/>
  <c r="W6" i="2" s="1"/>
  <c r="AB5" i="2"/>
  <c r="AV10" i="1"/>
  <c r="AW10" i="1" s="1"/>
  <c r="AG37" i="1" s="1"/>
  <c r="AH37" i="1" s="1"/>
  <c r="AH40" i="1"/>
  <c r="AH35" i="1"/>
  <c r="F24" i="1" s="1"/>
  <c r="D24" i="1"/>
  <c r="BO17" i="1"/>
  <c r="BQ17" i="1" s="1"/>
  <c r="AU16" i="1"/>
  <c r="D27" i="1"/>
  <c r="AH38" i="1"/>
  <c r="F27" i="1" s="1"/>
  <c r="AH41" i="1" l="1"/>
  <c r="F30" i="1" s="1"/>
  <c r="AM33" i="1"/>
  <c r="N22" i="1" s="1"/>
  <c r="AM35" i="1"/>
  <c r="N24" i="1" s="1"/>
  <c r="AG36" i="1"/>
  <c r="AF687" i="1" s="1"/>
  <c r="C46" i="1"/>
  <c r="AM34" i="1"/>
  <c r="N23" i="1" s="1"/>
  <c r="AK19" i="2"/>
  <c r="AK3" i="2" s="1"/>
  <c r="AL6" i="2" s="1"/>
  <c r="W5" i="2"/>
  <c r="V8" i="2"/>
  <c r="V10" i="2"/>
  <c r="W10" i="2"/>
  <c r="W9" i="2"/>
  <c r="V9" i="2"/>
  <c r="AJ3" i="2"/>
  <c r="AJ2" i="2" s="1"/>
  <c r="E30" i="2" s="1"/>
  <c r="V7" i="2"/>
  <c r="V6" i="2"/>
  <c r="W4" i="2"/>
  <c r="AG41" i="1"/>
  <c r="AF271" i="1"/>
  <c r="AF169" i="1"/>
  <c r="F29" i="1"/>
  <c r="AM40" i="1"/>
  <c r="N29" i="1" s="1"/>
  <c r="BP17" i="1"/>
  <c r="BR17" i="1" s="1"/>
  <c r="AU17" i="1" s="1" a="1"/>
  <c r="D26" i="1"/>
  <c r="AV16" i="1"/>
  <c r="AW16" i="1" s="1"/>
  <c r="AM37" i="1" s="1"/>
  <c r="BR21" i="1"/>
  <c r="AM38" i="1"/>
  <c r="N27" i="1" s="1"/>
  <c r="AF1335" i="1" l="1"/>
  <c r="AF1273" i="1"/>
  <c r="AF281" i="1"/>
  <c r="AF954" i="1"/>
  <c r="AF635" i="1"/>
  <c r="AF1061" i="1"/>
  <c r="AF915" i="1"/>
  <c r="AF545" i="1"/>
  <c r="AF1268" i="1"/>
  <c r="AF681" i="1"/>
  <c r="AF510" i="1"/>
  <c r="AF1149" i="1"/>
  <c r="AF1499" i="1"/>
  <c r="AF1191" i="1"/>
  <c r="AF1092" i="1"/>
  <c r="AF986" i="1"/>
  <c r="AF265" i="1"/>
  <c r="AF484" i="1"/>
  <c r="AF77" i="1"/>
  <c r="AF331" i="1"/>
  <c r="AF313" i="1"/>
  <c r="AF1056" i="1"/>
  <c r="AF431" i="1"/>
  <c r="AF612" i="1"/>
  <c r="AH36" i="1"/>
  <c r="F25" i="1" s="1"/>
  <c r="AF551" i="1"/>
  <c r="AF256" i="1"/>
  <c r="AF210" i="1"/>
  <c r="AF198" i="1"/>
  <c r="AF374" i="1"/>
  <c r="AF1477" i="1"/>
  <c r="AF1394" i="1"/>
  <c r="AF937" i="1"/>
  <c r="AF568" i="1"/>
  <c r="AF707" i="1"/>
  <c r="AF1347" i="1"/>
  <c r="AF150" i="1"/>
  <c r="AF858" i="1"/>
  <c r="AF195" i="1"/>
  <c r="AF723" i="1"/>
  <c r="AF316" i="1"/>
  <c r="AF951" i="1"/>
  <c r="AF957" i="1"/>
  <c r="AF1011" i="1"/>
  <c r="AF1076" i="1"/>
  <c r="AF179" i="1"/>
  <c r="AF501" i="1"/>
  <c r="AF250" i="1"/>
  <c r="AF235" i="1"/>
  <c r="AF997" i="1"/>
  <c r="AF477" i="1"/>
  <c r="AF102" i="1"/>
  <c r="AF414" i="1"/>
  <c r="AF1214" i="1"/>
  <c r="AF787" i="1"/>
  <c r="AF611" i="1"/>
  <c r="AF696" i="1"/>
  <c r="AF247" i="1"/>
  <c r="AF255" i="1"/>
  <c r="AF940" i="1"/>
  <c r="AF310" i="1"/>
  <c r="AF367" i="1"/>
  <c r="AF343" i="1"/>
  <c r="AF166" i="1"/>
  <c r="AF598" i="1"/>
  <c r="AF462" i="1"/>
  <c r="AF201" i="1"/>
  <c r="AF574" i="1"/>
  <c r="AF244" i="1"/>
  <c r="AF130" i="1"/>
  <c r="AF762" i="1"/>
  <c r="AF505" i="1"/>
  <c r="AF1098" i="1"/>
  <c r="AF519" i="1"/>
  <c r="AF1519" i="1"/>
  <c r="AF1393" i="1"/>
  <c r="AF638" i="1"/>
  <c r="AF436" i="1"/>
  <c r="AF292" i="1"/>
  <c r="AF1298" i="1"/>
  <c r="AF1129" i="1"/>
  <c r="AF1383" i="1"/>
  <c r="AF451" i="1"/>
  <c r="AF742" i="1"/>
  <c r="AF1384" i="1"/>
  <c r="AF1134" i="1"/>
  <c r="AF1096" i="1"/>
  <c r="AF260" i="1"/>
  <c r="AF194" i="1"/>
  <c r="AF769" i="1"/>
  <c r="AF1075" i="1"/>
  <c r="AF177" i="1"/>
  <c r="AF1164" i="1"/>
  <c r="AF82" i="1"/>
  <c r="AF344" i="1"/>
  <c r="AF423" i="1"/>
  <c r="AF230" i="1"/>
  <c r="AF932" i="1"/>
  <c r="AF1083" i="1"/>
  <c r="AF296" i="1"/>
  <c r="AF1345" i="1"/>
  <c r="AF1481" i="1"/>
  <c r="AF1582" i="1"/>
  <c r="AF445" i="1"/>
  <c r="AF300" i="1"/>
  <c r="AF463" i="1"/>
  <c r="AF220" i="1"/>
  <c r="AF933" i="1"/>
  <c r="AF147" i="1"/>
  <c r="AF629" i="1"/>
  <c r="AF156" i="1"/>
  <c r="AF354" i="1"/>
  <c r="AF663" i="1"/>
  <c r="AF755" i="1"/>
  <c r="AF1455" i="1"/>
  <c r="AF1138" i="1"/>
  <c r="AF258" i="1"/>
  <c r="AF826" i="1"/>
  <c r="AF652" i="1"/>
  <c r="AF1509" i="1"/>
  <c r="AF196" i="1"/>
  <c r="AF702" i="1"/>
  <c r="AF345" i="1"/>
  <c r="AF1060" i="1"/>
  <c r="AF668" i="1"/>
  <c r="AF1166" i="1"/>
  <c r="AF185" i="1"/>
  <c r="AF218" i="1"/>
  <c r="AF837" i="1"/>
  <c r="AF411" i="1"/>
  <c r="AF428" i="1"/>
  <c r="AF140" i="1"/>
  <c r="AF132" i="1"/>
  <c r="AF389" i="1"/>
  <c r="AF85" i="1"/>
  <c r="AF824" i="1"/>
  <c r="AF525" i="1"/>
  <c r="AF336" i="1"/>
  <c r="AF1438" i="1"/>
  <c r="AF1146" i="1"/>
  <c r="AF1029" i="1"/>
  <c r="AF139" i="1"/>
  <c r="AF1100" i="1"/>
  <c r="AF400" i="1"/>
  <c r="AF560" i="1"/>
  <c r="AF969" i="1"/>
  <c r="AF783" i="1"/>
  <c r="AF924" i="1"/>
  <c r="AF125" i="1"/>
  <c r="AF170" i="1"/>
  <c r="AF1055" i="1"/>
  <c r="AF184" i="1"/>
  <c r="AF966" i="1"/>
  <c r="AF507" i="1"/>
  <c r="AF1277" i="1"/>
  <c r="AF1236" i="1"/>
  <c r="AF1459" i="1"/>
  <c r="AF76" i="1"/>
  <c r="AF236" i="1"/>
  <c r="AF1141" i="1"/>
  <c r="AF408" i="1"/>
  <c r="AF811" i="1"/>
  <c r="AF217" i="1"/>
  <c r="AF650" i="1"/>
  <c r="AF546" i="1"/>
  <c r="AF515" i="1"/>
  <c r="AF304" i="1"/>
  <c r="AF1219" i="1"/>
  <c r="D25" i="1"/>
  <c r="AF67" i="1"/>
  <c r="AF269" i="1"/>
  <c r="AF448" i="1"/>
  <c r="AF1171" i="1"/>
  <c r="AF249" i="1"/>
  <c r="AF306" i="1"/>
  <c r="AF872" i="1"/>
  <c r="AF910" i="1"/>
  <c r="AF524" i="1"/>
  <c r="AF770" i="1"/>
  <c r="AF160" i="1"/>
  <c r="AF1327" i="1"/>
  <c r="AF630" i="1"/>
  <c r="AF226" i="1"/>
  <c r="AF74" i="1"/>
  <c r="AF1155" i="1"/>
  <c r="AF759" i="1"/>
  <c r="AF1303" i="1"/>
  <c r="AF412" i="1"/>
  <c r="AF371" i="1"/>
  <c r="AF685" i="1"/>
  <c r="AF914" i="1"/>
  <c r="AF722" i="1"/>
  <c r="AF430" i="1"/>
  <c r="AF357" i="1"/>
  <c r="AF1202" i="1"/>
  <c r="AF138" i="1"/>
  <c r="AF464" i="1"/>
  <c r="AF158" i="1"/>
  <c r="AF947" i="1"/>
  <c r="AF295" i="1"/>
  <c r="AF1014" i="1"/>
  <c r="AF1053" i="1"/>
  <c r="AF1281" i="1"/>
  <c r="AF825" i="1"/>
  <c r="AF352" i="1"/>
  <c r="AF1063" i="1"/>
  <c r="AF620" i="1"/>
  <c r="AF480" i="1"/>
  <c r="AF335" i="1"/>
  <c r="AF447" i="1"/>
  <c r="AF410" i="1"/>
  <c r="AF332" i="1"/>
  <c r="AF221" i="1"/>
  <c r="AF1213" i="1"/>
  <c r="AF939" i="1"/>
  <c r="AF1527" i="1"/>
  <c r="AF873" i="1"/>
  <c r="AF1414" i="1"/>
  <c r="AF633" i="1"/>
  <c r="AF522" i="1"/>
  <c r="AF558" i="1"/>
  <c r="AF124" i="1"/>
  <c r="AF473" i="1"/>
  <c r="AF730" i="1"/>
  <c r="AF610" i="1"/>
  <c r="AF161" i="1"/>
  <c r="AF806" i="1"/>
  <c r="AF1396" i="1"/>
  <c r="AF191" i="1"/>
  <c r="AF1147" i="1"/>
  <c r="AF101" i="1"/>
  <c r="AF794" i="1"/>
  <c r="AF552" i="1"/>
  <c r="AF1409" i="1"/>
  <c r="AF711" i="1"/>
  <c r="AF689" i="1"/>
  <c r="AF570" i="1"/>
  <c r="AF829" i="1"/>
  <c r="AF608" i="1"/>
  <c r="AF388" i="1"/>
  <c r="AF180" i="1"/>
  <c r="AF745" i="1"/>
  <c r="AF1555" i="1"/>
  <c r="AF397" i="1"/>
  <c r="AF1137" i="1"/>
  <c r="AF361" i="1"/>
  <c r="AF1230" i="1"/>
  <c r="AF1183" i="1"/>
  <c r="AF593" i="1"/>
  <c r="AF982" i="1"/>
  <c r="AF1116" i="1"/>
  <c r="AF200" i="1"/>
  <c r="AF1162" i="1"/>
  <c r="AF606" i="1"/>
  <c r="AF580" i="1"/>
  <c r="AF1254" i="1"/>
  <c r="AF724" i="1"/>
  <c r="AF103" i="1"/>
  <c r="AF690" i="1"/>
  <c r="AF1068" i="1"/>
  <c r="AF1077" i="1"/>
  <c r="AF1392" i="1"/>
  <c r="AF116" i="1"/>
  <c r="AF80" i="1"/>
  <c r="AF573" i="1"/>
  <c r="AF98" i="1"/>
  <c r="AF559" i="1"/>
  <c r="AF530" i="1"/>
  <c r="AF378" i="1"/>
  <c r="AF1090" i="1"/>
  <c r="AF816" i="1"/>
  <c r="AF1244" i="1"/>
  <c r="AF563" i="1"/>
  <c r="AF71" i="1"/>
  <c r="AF1026" i="1"/>
  <c r="AF1007" i="1"/>
  <c r="AF1049" i="1"/>
  <c r="AF786" i="1"/>
  <c r="AF1074" i="1"/>
  <c r="AF391" i="1"/>
  <c r="AF640" i="1"/>
  <c r="AF720" i="1"/>
  <c r="AF553" i="1"/>
  <c r="AF719" i="1"/>
  <c r="AF90" i="1"/>
  <c r="AF532" i="1"/>
  <c r="AF1040" i="1"/>
  <c r="AF486" i="1"/>
  <c r="AF595" i="1"/>
  <c r="AF527" i="1"/>
  <c r="AF828" i="1"/>
  <c r="AF1257" i="1"/>
  <c r="AF307" i="1"/>
  <c r="AF376" i="1"/>
  <c r="AF818" i="1"/>
  <c r="AF183" i="1"/>
  <c r="AF370" i="1"/>
  <c r="AF821" i="1"/>
  <c r="AF1247" i="1"/>
  <c r="AF735" i="1"/>
  <c r="AF785" i="1"/>
  <c r="AF328" i="1"/>
  <c r="AF346" i="1"/>
  <c r="AF1163" i="1"/>
  <c r="AF1031" i="1"/>
  <c r="AF881" i="1"/>
  <c r="AF1399" i="1"/>
  <c r="AF843" i="1"/>
  <c r="AF955" i="1"/>
  <c r="AF485" i="1"/>
  <c r="AF1338" i="1"/>
  <c r="AF284" i="1"/>
  <c r="AF554" i="1"/>
  <c r="AF1565" i="1"/>
  <c r="AF172" i="1"/>
  <c r="AF1140" i="1"/>
  <c r="AF490" i="1"/>
  <c r="AF978" i="1"/>
  <c r="AF1269" i="1"/>
  <c r="AF1354" i="1"/>
  <c r="AF104" i="1"/>
  <c r="AF334" i="1"/>
  <c r="AF502" i="1"/>
  <c r="AF614" i="1"/>
  <c r="AF504" i="1"/>
  <c r="AF1106" i="1"/>
  <c r="AF409" i="1"/>
  <c r="AF87" i="1"/>
  <c r="AF1290" i="1"/>
  <c r="AF1529" i="1"/>
  <c r="AF684" i="1"/>
  <c r="AF512" i="1"/>
  <c r="AF382" i="1"/>
  <c r="AF483" i="1"/>
  <c r="AF1336" i="1"/>
  <c r="AF263" i="1"/>
  <c r="AF286" i="1"/>
  <c r="AF453" i="1"/>
  <c r="AF288" i="1"/>
  <c r="AF233" i="1"/>
  <c r="AF309" i="1"/>
  <c r="AF616" i="1"/>
  <c r="AF86" i="1"/>
  <c r="AF514" i="1"/>
  <c r="AF349" i="1"/>
  <c r="AF1227" i="1"/>
  <c r="AF1081" i="1"/>
  <c r="AF531" i="1"/>
  <c r="AF842" i="1"/>
  <c r="AF838" i="1"/>
  <c r="AF1388" i="1"/>
  <c r="AF748" i="1"/>
  <c r="AF1095" i="1"/>
  <c r="AF1296" i="1"/>
  <c r="AF508" i="1"/>
  <c r="AF656" i="1"/>
  <c r="AF387" i="1"/>
  <c r="AF1507" i="1"/>
  <c r="AF513" i="1"/>
  <c r="AF1199" i="1"/>
  <c r="AF84" i="1"/>
  <c r="AF1403" i="1"/>
  <c r="AF575" i="1"/>
  <c r="AF660" i="1"/>
  <c r="AF1609" i="1"/>
  <c r="AF197" i="1"/>
  <c r="AF835" i="1"/>
  <c r="AF934" i="1"/>
  <c r="AF965" i="1"/>
  <c r="AF710" i="1"/>
  <c r="AF871" i="1"/>
  <c r="AF289" i="1"/>
  <c r="AF1165" i="1"/>
  <c r="AF1436" i="1"/>
  <c r="AF476" i="1"/>
  <c r="AF106" i="1"/>
  <c r="AF901" i="1"/>
  <c r="AF1062" i="1"/>
  <c r="AF869" i="1"/>
  <c r="AF547" i="1"/>
  <c r="AF1547" i="1"/>
  <c r="AF297" i="1"/>
  <c r="AF1036" i="1"/>
  <c r="AF338" i="1"/>
  <c r="AF989" i="1"/>
  <c r="AF1322" i="1"/>
  <c r="AF1471" i="1"/>
  <c r="AF859" i="1"/>
  <c r="AF577" i="1"/>
  <c r="AF228" i="1"/>
  <c r="AF83" i="1"/>
  <c r="AF369" i="1"/>
  <c r="AF261" i="1"/>
  <c r="AF1034" i="1"/>
  <c r="AF1217" i="1"/>
  <c r="AF142" i="1"/>
  <c r="AF1091" i="1"/>
  <c r="AF1280" i="1"/>
  <c r="AF1318" i="1"/>
  <c r="AF234" i="1"/>
  <c r="AF96" i="1"/>
  <c r="AF624" i="1"/>
  <c r="AF1412" i="1"/>
  <c r="AF1443" i="1"/>
  <c r="AF456" i="1"/>
  <c r="AF308" i="1"/>
  <c r="AF299" i="1"/>
  <c r="AF1158" i="1"/>
  <c r="AF988" i="1"/>
  <c r="AF692" i="1"/>
  <c r="AF906" i="1"/>
  <c r="AF537" i="1"/>
  <c r="AF1264" i="1"/>
  <c r="AF478" i="1"/>
  <c r="AF1374" i="1"/>
  <c r="AF1391" i="1"/>
  <c r="AF533" i="1"/>
  <c r="AF294" i="1"/>
  <c r="AF1122" i="1"/>
  <c r="AF747" i="1"/>
  <c r="AF1514" i="1"/>
  <c r="AF1044" i="1"/>
  <c r="AF204" i="1"/>
  <c r="AF280" i="1"/>
  <c r="AF751" i="1"/>
  <c r="AF793" i="1"/>
  <c r="AF439" i="1"/>
  <c r="AF78" i="1"/>
  <c r="AF211" i="1"/>
  <c r="AF756" i="1"/>
  <c r="AF1397" i="1"/>
  <c r="AF437" i="1"/>
  <c r="AF498" i="1"/>
  <c r="AF896" i="1"/>
  <c r="AF479" i="1"/>
  <c r="AF727" i="1"/>
  <c r="AF224" i="1"/>
  <c r="AF112" i="1"/>
  <c r="AF429" i="1"/>
  <c r="AF1305" i="1"/>
  <c r="AF795" i="1"/>
  <c r="AF174" i="1"/>
  <c r="AF1027" i="1"/>
  <c r="AF929" i="1"/>
  <c r="AF79" i="1"/>
  <c r="AF188" i="1"/>
  <c r="AF253" i="1"/>
  <c r="AF665" i="1"/>
  <c r="AF470" i="1"/>
  <c r="AF622" i="1"/>
  <c r="AF283" i="1"/>
  <c r="AF699" i="1"/>
  <c r="AF81" i="1"/>
  <c r="AF761" i="1"/>
  <c r="AF1019" i="1"/>
  <c r="AF93" i="1"/>
  <c r="AF206" i="1"/>
  <c r="AF225" i="1"/>
  <c r="AF94" i="1"/>
  <c r="AF935" i="1"/>
  <c r="AF541" i="1"/>
  <c r="AF282" i="1"/>
  <c r="AF392" i="1"/>
  <c r="AF119" i="1"/>
  <c r="AF539" i="1"/>
  <c r="AF963" i="1"/>
  <c r="AF151" i="1"/>
  <c r="AF628" i="1"/>
  <c r="AF471" i="1"/>
  <c r="AF716" i="1"/>
  <c r="AF833" i="1"/>
  <c r="AF238" i="1"/>
  <c r="AF1050" i="1"/>
  <c r="AF996" i="1"/>
  <c r="AF239" i="1"/>
  <c r="AF926" i="1"/>
  <c r="AF931" i="1"/>
  <c r="AF868" i="1"/>
  <c r="AF324" i="1"/>
  <c r="AF298" i="1"/>
  <c r="AF893" i="1"/>
  <c r="AF637" i="1"/>
  <c r="AF535" i="1"/>
  <c r="AF744" i="1"/>
  <c r="AF111" i="1"/>
  <c r="AF1465" i="1"/>
  <c r="AF182" i="1"/>
  <c r="AF691" i="1"/>
  <c r="AF1128" i="1"/>
  <c r="AF1263" i="1"/>
  <c r="AF678" i="1"/>
  <c r="AF777" i="1"/>
  <c r="AF851" i="1"/>
  <c r="AF506" i="1"/>
  <c r="AF468" i="1"/>
  <c r="AF523" i="1"/>
  <c r="AF1003" i="1"/>
  <c r="AF209" i="1"/>
  <c r="AF1144" i="1"/>
  <c r="AF95" i="1"/>
  <c r="AF491" i="1"/>
  <c r="AF323" i="1"/>
  <c r="AF848" i="1"/>
  <c r="AF733" i="1"/>
  <c r="AF157" i="1"/>
  <c r="AF578" i="1"/>
  <c r="AF706" i="1"/>
  <c r="AF418" i="1"/>
  <c r="AF582" i="1"/>
  <c r="AF993" i="1"/>
  <c r="AF350" i="1"/>
  <c r="AF979" i="1"/>
  <c r="AF1441" i="1"/>
  <c r="AF422" i="1"/>
  <c r="AF457" i="1"/>
  <c r="AF841" i="1"/>
  <c r="AF618" i="1"/>
  <c r="AF173" i="1"/>
  <c r="AF1251" i="1"/>
  <c r="AF259" i="1"/>
  <c r="AF1028" i="1"/>
  <c r="AF849" i="1"/>
  <c r="AF1235" i="1"/>
  <c r="AF927" i="1"/>
  <c r="AF542" i="1"/>
  <c r="AF1174" i="1"/>
  <c r="AK2" i="2"/>
  <c r="AF1517" i="1"/>
  <c r="AF1400" i="1"/>
  <c r="AF208" i="1"/>
  <c r="AF743" i="1"/>
  <c r="AF1206" i="1"/>
  <c r="AF1402" i="1"/>
  <c r="AF709" i="1"/>
  <c r="AF767" i="1"/>
  <c r="AF212" i="1"/>
  <c r="AF107" i="1"/>
  <c r="AF1175" i="1"/>
  <c r="AF1543" i="1"/>
  <c r="AF353" i="1"/>
  <c r="AF1346" i="1"/>
  <c r="AF1105" i="1"/>
  <c r="AF752" i="1"/>
  <c r="AF401" i="1"/>
  <c r="AF569" i="1"/>
  <c r="AF725" i="1"/>
  <c r="AF358" i="1"/>
  <c r="AF293" i="1"/>
  <c r="AF913" i="1"/>
  <c r="AF788" i="1"/>
  <c r="AF827" i="1"/>
  <c r="AF1120" i="1"/>
  <c r="AF1317" i="1"/>
  <c r="AF134" i="1"/>
  <c r="AF1169" i="1"/>
  <c r="AF746" i="1"/>
  <c r="AF990" i="1"/>
  <c r="AF1434" i="1"/>
  <c r="AF1185" i="1"/>
  <c r="AF1279" i="1"/>
  <c r="AF1295" i="1"/>
  <c r="AF70" i="1"/>
  <c r="AF1408" i="1"/>
  <c r="AF1086" i="1"/>
  <c r="AF669" i="1"/>
  <c r="AF808" i="1"/>
  <c r="AF1492" i="1"/>
  <c r="AF655" i="1"/>
  <c r="AF1356" i="1"/>
  <c r="AF1501" i="1"/>
  <c r="AF764" i="1"/>
  <c r="AF1405" i="1"/>
  <c r="AF667" i="1"/>
  <c r="AF1510" i="1"/>
  <c r="AF1195" i="1"/>
  <c r="AF936" i="1"/>
  <c r="AF1421" i="1"/>
  <c r="AF1553" i="1"/>
  <c r="AF772" i="1"/>
  <c r="AF1222" i="1"/>
  <c r="AF1304" i="1"/>
  <c r="AF1502" i="1"/>
  <c r="AF812" i="1"/>
  <c r="AF953" i="1"/>
  <c r="AF219" i="1"/>
  <c r="AF1255" i="1"/>
  <c r="AF928" i="1"/>
  <c r="AF1292" i="1"/>
  <c r="AF909" i="1"/>
  <c r="AF1299" i="1"/>
  <c r="AF956" i="1"/>
  <c r="AF1561" i="1"/>
  <c r="AF734" i="1"/>
  <c r="AF1153" i="1"/>
  <c r="AF1520" i="1"/>
  <c r="AF1309" i="1"/>
  <c r="AF1605" i="1"/>
  <c r="AF1110" i="1"/>
  <c r="AF415" i="1"/>
  <c r="AF845" i="1"/>
  <c r="AF375" i="1"/>
  <c r="AF1004" i="1"/>
  <c r="AF1208" i="1"/>
  <c r="AF496" i="1"/>
  <c r="AF266" i="1"/>
  <c r="AF1377" i="1"/>
  <c r="AF1328" i="1"/>
  <c r="AF1136" i="1"/>
  <c r="AF1526" i="1"/>
  <c r="AF1150" i="1"/>
  <c r="AF1256" i="1"/>
  <c r="AF1563" i="1"/>
  <c r="AF886" i="1"/>
  <c r="AF1497" i="1"/>
  <c r="AF1125" i="1"/>
  <c r="AF1607" i="1"/>
  <c r="AF649" i="1"/>
  <c r="AF1495" i="1"/>
  <c r="AF123" i="1"/>
  <c r="AF1348" i="1"/>
  <c r="AF536" i="1"/>
  <c r="AF319" i="1"/>
  <c r="AF900" i="1"/>
  <c r="AF1578" i="1"/>
  <c r="AF1070" i="1"/>
  <c r="AF846" i="1"/>
  <c r="AF1033" i="1"/>
  <c r="AF680" i="1"/>
  <c r="AF590" i="1"/>
  <c r="AF1221" i="1"/>
  <c r="AF1071" i="1"/>
  <c r="AF499" i="1"/>
  <c r="AF768" i="1"/>
  <c r="AF775" i="1"/>
  <c r="AF863" i="1"/>
  <c r="AF1357" i="1"/>
  <c r="AF1064" i="1"/>
  <c r="AF452" i="1"/>
  <c r="AF190" i="1"/>
  <c r="AF1574" i="1"/>
  <c r="AF1188" i="1"/>
  <c r="AF1286" i="1"/>
  <c r="AF836" i="1"/>
  <c r="AF1160" i="1"/>
  <c r="AF1452" i="1"/>
  <c r="AF682" i="1"/>
  <c r="AF1265" i="1"/>
  <c r="AF213" i="1"/>
  <c r="AF1293" i="1"/>
  <c r="AF1398" i="1"/>
  <c r="AF792" i="1"/>
  <c r="AF1540" i="1"/>
  <c r="AF1205" i="1"/>
  <c r="AF1479" i="1"/>
  <c r="AF1291" i="1"/>
  <c r="AF1111" i="1"/>
  <c r="AF780" i="1"/>
  <c r="AF830" i="1"/>
  <c r="AF1179" i="1"/>
  <c r="AF402" i="1"/>
  <c r="AF1258" i="1"/>
  <c r="AF1461" i="1"/>
  <c r="AF1515" i="1"/>
  <c r="AF109" i="1"/>
  <c r="AF567" i="1"/>
  <c r="AF1048" i="1"/>
  <c r="AF918" i="1"/>
  <c r="AF1418" i="1"/>
  <c r="AF1121" i="1"/>
  <c r="AF1102" i="1"/>
  <c r="AF1419" i="1"/>
  <c r="AF1320" i="1"/>
  <c r="AF1190" i="1"/>
  <c r="AF677" i="1"/>
  <c r="AF1554" i="1"/>
  <c r="AF1432" i="1"/>
  <c r="AF627" i="1"/>
  <c r="AF407" i="1"/>
  <c r="AF413" i="1"/>
  <c r="AF666" i="1"/>
  <c r="AF810" i="1"/>
  <c r="AF644" i="1"/>
  <c r="AF880" i="1"/>
  <c r="AF1237" i="1"/>
  <c r="AF1192" i="1"/>
  <c r="AF959" i="1"/>
  <c r="AF466" i="1"/>
  <c r="AF1229" i="1"/>
  <c r="AF1087" i="1"/>
  <c r="AF1567" i="1"/>
  <c r="AF970" i="1"/>
  <c r="AF607" i="1"/>
  <c r="D30" i="1"/>
  <c r="AF632" i="1"/>
  <c r="AF1448" i="1"/>
  <c r="AF571" i="1"/>
  <c r="AF529" i="1"/>
  <c r="AF1439" i="1"/>
  <c r="AF809" i="1"/>
  <c r="AF983" i="1"/>
  <c r="AF312" i="1"/>
  <c r="AF360" i="1"/>
  <c r="AF277" i="1"/>
  <c r="AF1259" i="1"/>
  <c r="AF1142" i="1"/>
  <c r="AF1243" i="1"/>
  <c r="AF832" i="1"/>
  <c r="AF778" i="1"/>
  <c r="AF958" i="1"/>
  <c r="AF1156" i="1"/>
  <c r="AF1516" i="1"/>
  <c r="AF1483" i="1"/>
  <c r="AF839" i="1"/>
  <c r="AF509" i="1"/>
  <c r="AF1534" i="1"/>
  <c r="AF844" i="1"/>
  <c r="AF1043" i="1"/>
  <c r="AF1581" i="1"/>
  <c r="AF1325" i="1"/>
  <c r="AF1052" i="1"/>
  <c r="AF784" i="1"/>
  <c r="AF1032" i="1"/>
  <c r="AF1177" i="1"/>
  <c r="AF137" i="1"/>
  <c r="AF804" i="1"/>
  <c r="AF1349" i="1"/>
  <c r="AF713" i="1"/>
  <c r="AF1454" i="1"/>
  <c r="AF1315" i="1"/>
  <c r="AF1038" i="1"/>
  <c r="AF950" i="1"/>
  <c r="AF1562" i="1"/>
  <c r="AF469" i="1"/>
  <c r="AF750" i="1"/>
  <c r="AF534" i="1"/>
  <c r="AF774" i="1"/>
  <c r="AF1123" i="1"/>
  <c r="AF165" i="1"/>
  <c r="AF1484" i="1"/>
  <c r="AF1302" i="1"/>
  <c r="AF120" i="1"/>
  <c r="AF894" i="1"/>
  <c r="AF776" i="1"/>
  <c r="AF1209" i="1"/>
  <c r="AF1046" i="1"/>
  <c r="AF176" i="1"/>
  <c r="AF1466" i="1"/>
  <c r="AF875" i="1"/>
  <c r="AF526" i="1"/>
  <c r="AF1284" i="1"/>
  <c r="AF980" i="1"/>
  <c r="AF679" i="1"/>
  <c r="AF1550" i="1"/>
  <c r="AF1368" i="1"/>
  <c r="AF424" i="1"/>
  <c r="AF1082" i="1"/>
  <c r="AF703" i="1"/>
  <c r="AF673" i="1"/>
  <c r="AF594" i="1"/>
  <c r="AF1252" i="1"/>
  <c r="AF715" i="1"/>
  <c r="AF135" i="1"/>
  <c r="AF426" i="1"/>
  <c r="AF141" i="1"/>
  <c r="AF163" i="1"/>
  <c r="AF662" i="1"/>
  <c r="AF621" i="1"/>
  <c r="AF148" i="1"/>
  <c r="AF122" i="1"/>
  <c r="AF1238" i="1"/>
  <c r="AF600" i="1"/>
  <c r="AF1234" i="1"/>
  <c r="AF1552" i="1"/>
  <c r="AF1544" i="1"/>
  <c r="AF144" i="1"/>
  <c r="AF216" i="1"/>
  <c r="AF912" i="1"/>
  <c r="AF1458" i="1"/>
  <c r="AF642" i="1"/>
  <c r="AF657" i="1"/>
  <c r="AF1133" i="1"/>
  <c r="AF133" i="1"/>
  <c r="AF1224" i="1"/>
  <c r="AF1386" i="1"/>
  <c r="AF882" i="1"/>
  <c r="AF1253" i="1"/>
  <c r="AF1151" i="1"/>
  <c r="AF333" i="1"/>
  <c r="AF1566" i="1"/>
  <c r="AF1241" i="1"/>
  <c r="AF1594" i="1"/>
  <c r="AF372" i="1"/>
  <c r="AF676" i="1"/>
  <c r="AF797" i="1"/>
  <c r="AF1314" i="1"/>
  <c r="AF1460" i="1"/>
  <c r="AF1541" i="1"/>
  <c r="AF897" i="1"/>
  <c r="AF231" i="1"/>
  <c r="AF145" i="1"/>
  <c r="AF579" i="1"/>
  <c r="AF159" i="1"/>
  <c r="AF586" i="1"/>
  <c r="AF1593" i="1"/>
  <c r="AF1059" i="1"/>
  <c r="AF540" i="1"/>
  <c r="AF1387" i="1"/>
  <c r="AF790" i="1"/>
  <c r="AF487" i="1"/>
  <c r="AF1017" i="1"/>
  <c r="AF1415" i="1"/>
  <c r="AF1065" i="1"/>
  <c r="AF1132" i="1"/>
  <c r="AF789" i="1"/>
  <c r="AF359" i="1"/>
  <c r="AF987" i="1"/>
  <c r="AF1425" i="1"/>
  <c r="AF1047" i="1"/>
  <c r="AF1525" i="1"/>
  <c r="AF1420" i="1"/>
  <c r="AF654" i="1"/>
  <c r="AF1506" i="1"/>
  <c r="AF999" i="1"/>
  <c r="AF1225" i="1"/>
  <c r="AF1411" i="1"/>
  <c r="AF1016" i="1"/>
  <c r="AF591" i="1"/>
  <c r="AF1352" i="1"/>
  <c r="AF907" i="1"/>
  <c r="AF991" i="1"/>
  <c r="AF1521" i="1"/>
  <c r="AF1266" i="1"/>
  <c r="AF379" i="1"/>
  <c r="AF994" i="1"/>
  <c r="AF831" i="1"/>
  <c r="AF355" i="1"/>
  <c r="AF181" i="1"/>
  <c r="AF1390" i="1"/>
  <c r="AF243" i="1"/>
  <c r="AF1157" i="1"/>
  <c r="AF962" i="1"/>
  <c r="AF634" i="1"/>
  <c r="AF803" i="1"/>
  <c r="AF659" i="1"/>
  <c r="AF631" i="1"/>
  <c r="AF110" i="1"/>
  <c r="AF1372" i="1"/>
  <c r="AF538" i="1"/>
  <c r="AF562" i="1"/>
  <c r="AF405" i="1"/>
  <c r="AF278" i="1"/>
  <c r="AF162" i="1"/>
  <c r="AF121" i="1"/>
  <c r="AF1013" i="1"/>
  <c r="AF127" i="1"/>
  <c r="AF1154" i="1"/>
  <c r="AF450" i="1"/>
  <c r="AF1417" i="1"/>
  <c r="AF1127" i="1"/>
  <c r="AF949" i="1"/>
  <c r="AF517" i="1"/>
  <c r="AF1569" i="1"/>
  <c r="AF960" i="1"/>
  <c r="AF1159" i="1"/>
  <c r="AF1324" i="1"/>
  <c r="AF1513" i="1"/>
  <c r="AF118" i="1"/>
  <c r="AF1108" i="1"/>
  <c r="AF740" i="1"/>
  <c r="AF1069" i="1"/>
  <c r="AF1334" i="1"/>
  <c r="AF1468" i="1"/>
  <c r="AF1457" i="1"/>
  <c r="AF1523" i="1"/>
  <c r="AF1608" i="1"/>
  <c r="AF1539" i="1"/>
  <c r="AF984" i="1"/>
  <c r="AF1242" i="1"/>
  <c r="AF1260" i="1"/>
  <c r="AF975" i="1"/>
  <c r="AF1342" i="1"/>
  <c r="AF1045" i="1"/>
  <c r="AF1580" i="1"/>
  <c r="AF1588" i="1"/>
  <c r="AF373" i="1"/>
  <c r="AF1587" i="1"/>
  <c r="AF270" i="1"/>
  <c r="AF1360" i="1"/>
  <c r="AF948" i="1"/>
  <c r="AF1380" i="1"/>
  <c r="AF404" i="1"/>
  <c r="AF1240" i="1"/>
  <c r="AF823" i="1"/>
  <c r="AF1189" i="1"/>
  <c r="AF1272" i="1"/>
  <c r="AF393" i="1"/>
  <c r="AF89" i="1"/>
  <c r="AF1437" i="1"/>
  <c r="AF390" i="1"/>
  <c r="AF356" i="1"/>
  <c r="AF365" i="1"/>
  <c r="AF1568" i="1"/>
  <c r="AF636" i="1"/>
  <c r="AF427" i="1"/>
  <c r="AF398" i="1"/>
  <c r="AF974" i="1"/>
  <c r="AF1542" i="1"/>
  <c r="AF1020" i="1"/>
  <c r="AF241" i="1"/>
  <c r="AF1476" i="1"/>
  <c r="AF879" i="1"/>
  <c r="AF938" i="1"/>
  <c r="AF1474" i="1"/>
  <c r="AF922" i="1"/>
  <c r="AF731" i="1"/>
  <c r="AF1508" i="1"/>
  <c r="AF729" i="1"/>
  <c r="AF658" i="1"/>
  <c r="AF1416" i="1"/>
  <c r="AF1331" i="1"/>
  <c r="AF193" i="1"/>
  <c r="AF544" i="1"/>
  <c r="AF1250" i="1"/>
  <c r="AF1410" i="1"/>
  <c r="AF728" i="1"/>
  <c r="AF1472" i="1"/>
  <c r="AF712" i="1"/>
  <c r="AF1456" i="1"/>
  <c r="AF874" i="1"/>
  <c r="AF599" i="1"/>
  <c r="AF446" i="1"/>
  <c r="AF1204" i="1"/>
  <c r="AF1361" i="1"/>
  <c r="AF1366" i="1"/>
  <c r="AF1551" i="1"/>
  <c r="AF661" i="1"/>
  <c r="AF1364" i="1"/>
  <c r="AF1404" i="1"/>
  <c r="AF1035" i="1"/>
  <c r="AF584" i="1"/>
  <c r="AF1089" i="1"/>
  <c r="AF264" i="1"/>
  <c r="AF433" i="1"/>
  <c r="AF1428" i="1"/>
  <c r="AF1595" i="1"/>
  <c r="AF555" i="1"/>
  <c r="AF1511" i="1"/>
  <c r="AF1535" i="1"/>
  <c r="AF1042" i="1"/>
  <c r="AF363" i="1"/>
  <c r="AF645" i="1"/>
  <c r="AF1560" i="1"/>
  <c r="AF68" i="1"/>
  <c r="AF1212" i="1"/>
  <c r="AF1431" i="1"/>
  <c r="AF1370" i="1"/>
  <c r="AF1531" i="1"/>
  <c r="AF503" i="1"/>
  <c r="AF1148" i="1"/>
  <c r="AF287" i="1"/>
  <c r="AF943" i="1"/>
  <c r="AF1262" i="1"/>
  <c r="AF1231" i="1"/>
  <c r="AF330" i="1"/>
  <c r="AF207" i="1"/>
  <c r="AF489" i="1"/>
  <c r="AF1001" i="1"/>
  <c r="AF693" i="1"/>
  <c r="AF1545" i="1"/>
  <c r="AF518" i="1"/>
  <c r="AF643" i="1"/>
  <c r="AF737" i="1"/>
  <c r="AF961" i="1"/>
  <c r="AF1557" i="1"/>
  <c r="AF1282" i="1"/>
  <c r="AF395" i="1"/>
  <c r="AF325" i="1"/>
  <c r="AF229" i="1"/>
  <c r="AF1135" i="1"/>
  <c r="AF1319" i="1"/>
  <c r="AF800" i="1"/>
  <c r="AF1010" i="1"/>
  <c r="AF1463" i="1"/>
  <c r="AF475" i="1"/>
  <c r="AF1323" i="1"/>
  <c r="AF1558" i="1"/>
  <c r="AF791" i="1"/>
  <c r="AF1022" i="1"/>
  <c r="AF279" i="1"/>
  <c r="AF1114" i="1"/>
  <c r="AF113" i="1"/>
  <c r="AF670" i="1"/>
  <c r="AF320" i="1"/>
  <c r="AF438" i="1"/>
  <c r="AF1359" i="1"/>
  <c r="AF866" i="1"/>
  <c r="AF384" i="1"/>
  <c r="AF178" i="1"/>
  <c r="AF1080" i="1"/>
  <c r="AF364" i="1"/>
  <c r="AF834" i="1"/>
  <c r="AF698" i="1"/>
  <c r="AF885" i="1"/>
  <c r="AF883" i="1"/>
  <c r="AF1271" i="1"/>
  <c r="AF944" i="1"/>
  <c r="AF771" i="1"/>
  <c r="AF520" i="1"/>
  <c r="AF314" i="1"/>
  <c r="AF73" i="1"/>
  <c r="AF146" i="1"/>
  <c r="AF105" i="1"/>
  <c r="AF203" i="1"/>
  <c r="AF302" i="1"/>
  <c r="AF1139" i="1"/>
  <c r="AF385" i="1"/>
  <c r="AF714" i="1"/>
  <c r="AF697" i="1"/>
  <c r="AF1306" i="1"/>
  <c r="AF801" i="1"/>
  <c r="AF272" i="1"/>
  <c r="AF1288" i="1"/>
  <c r="AF1376" i="1"/>
  <c r="AF1058" i="1"/>
  <c r="AF1564" i="1"/>
  <c r="AF497" i="1"/>
  <c r="AF1478" i="1"/>
  <c r="AF757" i="1"/>
  <c r="AF1485" i="1"/>
  <c r="AF1375" i="1"/>
  <c r="AF1490" i="1"/>
  <c r="AF888" i="1"/>
  <c r="AF1115" i="1"/>
  <c r="AF1201" i="1"/>
  <c r="AF942" i="1"/>
  <c r="AF864" i="1"/>
  <c r="AF1596" i="1"/>
  <c r="AF1350" i="1"/>
  <c r="AF205" i="1"/>
  <c r="AF1473" i="1"/>
  <c r="AF1584" i="1"/>
  <c r="AF1311" i="1"/>
  <c r="AF493" i="1"/>
  <c r="AF1532" i="1"/>
  <c r="AF274" i="1"/>
  <c r="AF985" i="1"/>
  <c r="AF1556" i="1"/>
  <c r="AF1462" i="1"/>
  <c r="AF444" i="1"/>
  <c r="AF1447" i="1"/>
  <c r="AF1181" i="1"/>
  <c r="AF602" i="1"/>
  <c r="AF1024" i="1"/>
  <c r="AF202" i="1"/>
  <c r="AF494" i="1"/>
  <c r="AF1528" i="1"/>
  <c r="AF754" i="1"/>
  <c r="AF1585" i="1"/>
  <c r="AF1575" i="1"/>
  <c r="AF1145" i="1"/>
  <c r="AF92" i="1"/>
  <c r="AF1287" i="1"/>
  <c r="AF1117" i="1"/>
  <c r="AF998" i="1"/>
  <c r="AF1339" i="1"/>
  <c r="AF317" i="1"/>
  <c r="AF941" i="1"/>
  <c r="AF588" i="1"/>
  <c r="AF1051" i="1"/>
  <c r="AF1226" i="1"/>
  <c r="AF1488" i="1"/>
  <c r="AF822" i="1"/>
  <c r="AF1072" i="1"/>
  <c r="AF1351" i="1"/>
  <c r="AF143" i="1"/>
  <c r="AF482" i="1"/>
  <c r="AF613" i="1"/>
  <c r="AF442" i="1"/>
  <c r="AF1097" i="1"/>
  <c r="AF721" i="1"/>
  <c r="AF329" i="1"/>
  <c r="AF817" i="1"/>
  <c r="AE242" i="1"/>
  <c r="AF326" i="1"/>
  <c r="AF1337" i="1"/>
  <c r="AF500" i="1"/>
  <c r="AF891" i="1"/>
  <c r="AF467" i="1"/>
  <c r="AF1021" i="1"/>
  <c r="AF214" i="1"/>
  <c r="AF1066" i="1"/>
  <c r="AF601" i="1"/>
  <c r="AF889" i="1"/>
  <c r="AF377" i="1"/>
  <c r="AF736" i="1"/>
  <c r="AF543" i="1"/>
  <c r="AF115" i="1"/>
  <c r="AF749" i="1"/>
  <c r="AF625" i="1"/>
  <c r="AF700" i="1"/>
  <c r="AF1491" i="1"/>
  <c r="AF368" i="1"/>
  <c r="AF738" i="1"/>
  <c r="AF779" i="1"/>
  <c r="AF75" i="1"/>
  <c r="AF565" i="1"/>
  <c r="AF704" i="1"/>
  <c r="AF348" i="1"/>
  <c r="AF1503" i="1"/>
  <c r="AF1193" i="1"/>
  <c r="AF1572" i="1"/>
  <c r="AF585" i="1"/>
  <c r="AF1480" i="1"/>
  <c r="AF619" i="1"/>
  <c r="AF1427" i="1"/>
  <c r="AF419" i="1"/>
  <c r="AF976" i="1"/>
  <c r="AF1344" i="1"/>
  <c r="AF902" i="1"/>
  <c r="AF995" i="1"/>
  <c r="AF1196" i="1"/>
  <c r="AF1283" i="1"/>
  <c r="AF340" i="1"/>
  <c r="AF1037" i="1"/>
  <c r="AF1422" i="1"/>
  <c r="AF878" i="1"/>
  <c r="AF1489" i="1"/>
  <c r="AF1332" i="1"/>
  <c r="AF732" i="1"/>
  <c r="AF814" i="1"/>
  <c r="AF1579" i="1"/>
  <c r="AF917" i="1"/>
  <c r="AF799" i="1"/>
  <c r="AF856" i="1"/>
  <c r="AF1378" i="1"/>
  <c r="AF1203" i="1"/>
  <c r="AF1537" i="1"/>
  <c r="AF1009" i="1"/>
  <c r="AF251" i="1"/>
  <c r="AF1358" i="1"/>
  <c r="AF1294" i="1"/>
  <c r="AF1451" i="1"/>
  <c r="AF741" i="1"/>
  <c r="AF1215" i="1"/>
  <c r="AF1018" i="1"/>
  <c r="AF1168" i="1"/>
  <c r="AF126" i="1"/>
  <c r="AF1433" i="1"/>
  <c r="AF899" i="1"/>
  <c r="AF72" i="1"/>
  <c r="AF1261" i="1"/>
  <c r="AF1353" i="1"/>
  <c r="AF1435" i="1"/>
  <c r="AF1602" i="1"/>
  <c r="AF671" i="1"/>
  <c r="AF911" i="1"/>
  <c r="AF605" i="1"/>
  <c r="AF164" i="1"/>
  <c r="AF972" i="1"/>
  <c r="AF1278" i="1"/>
  <c r="AF1207" i="1"/>
  <c r="AF1599" i="1"/>
  <c r="AF1576" i="1"/>
  <c r="AF1057" i="1"/>
  <c r="AF1167" i="1"/>
  <c r="AF1084" i="1"/>
  <c r="AF854" i="1"/>
  <c r="AL10" i="2"/>
  <c r="AL7" i="2"/>
  <c r="AL9" i="2"/>
  <c r="AL8" i="2"/>
  <c r="AI3" i="2"/>
  <c r="AI2" i="2" s="1"/>
  <c r="E23" i="2" s="1"/>
  <c r="F23" i="2"/>
  <c r="F30" i="2"/>
  <c r="AF1493" i="1"/>
  <c r="AF1464" i="1"/>
  <c r="AF1333" i="1"/>
  <c r="AF1008" i="1"/>
  <c r="AF1173" i="1"/>
  <c r="AF1172" i="1"/>
  <c r="AF461" i="1"/>
  <c r="AF1176" i="1"/>
  <c r="AF1592" i="1"/>
  <c r="AF920" i="1"/>
  <c r="AF1297" i="1"/>
  <c r="AF903" i="1"/>
  <c r="AF1249" i="1"/>
  <c r="AF930" i="1"/>
  <c r="AF1559" i="1"/>
  <c r="AF1549" i="1"/>
  <c r="AF1194" i="1"/>
  <c r="AF1498" i="1"/>
  <c r="AF1406" i="1"/>
  <c r="AF1538" i="1"/>
  <c r="AF1500" i="1"/>
  <c r="AF1365" i="1"/>
  <c r="AF557" i="1"/>
  <c r="AF1577" i="1"/>
  <c r="AF1469" i="1"/>
  <c r="AF1270" i="1"/>
  <c r="AF1330" i="1"/>
  <c r="AF592" i="1"/>
  <c r="AF262" i="1"/>
  <c r="AF916" i="1"/>
  <c r="AF1218" i="1"/>
  <c r="AF1371" i="1"/>
  <c r="AF1054" i="1"/>
  <c r="AF1524" i="1"/>
  <c r="AF1536" i="1"/>
  <c r="AF1389" i="1"/>
  <c r="AF1512" i="1"/>
  <c r="AF1326" i="1"/>
  <c r="AF604" i="1"/>
  <c r="AF815" i="1"/>
  <c r="AF1444" i="1"/>
  <c r="AF425" i="1"/>
  <c r="AF701" i="1"/>
  <c r="AF420" i="1"/>
  <c r="AF342" i="1"/>
  <c r="AF1285" i="1"/>
  <c r="AF1321" i="1"/>
  <c r="AF175" i="1"/>
  <c r="AF705" i="1"/>
  <c r="AF1232" i="1"/>
  <c r="AF855" i="1"/>
  <c r="AF1005" i="1"/>
  <c r="AF1276" i="1"/>
  <c r="AF1429" i="1"/>
  <c r="AF1548" i="1"/>
  <c r="AF1363" i="1"/>
  <c r="AF1453" i="1"/>
  <c r="AF454" i="1"/>
  <c r="AF895" i="1"/>
  <c r="AF589" i="1"/>
  <c r="AF1546" i="1"/>
  <c r="AF1424" i="1"/>
  <c r="AF971" i="1"/>
  <c r="AF215" i="1"/>
  <c r="AF1119" i="1"/>
  <c r="AF337" i="1"/>
  <c r="AF1130" i="1"/>
  <c r="AF862" i="1"/>
  <c r="AF1067" i="1"/>
  <c r="AF1101" i="1"/>
  <c r="AF1023" i="1"/>
  <c r="AF1600" i="1"/>
  <c r="AF758" i="1"/>
  <c r="AF1591" i="1"/>
  <c r="AF672" i="1"/>
  <c r="AF1316" i="1"/>
  <c r="AF1180" i="1"/>
  <c r="AF853" i="1"/>
  <c r="AF99" i="1"/>
  <c r="AF1006" i="1"/>
  <c r="AF267" i="1"/>
  <c r="AF603" i="1"/>
  <c r="AF1522" i="1"/>
  <c r="AF1301" i="1"/>
  <c r="AF651" i="1"/>
  <c r="AF1598" i="1"/>
  <c r="AF1012" i="1"/>
  <c r="AF641" i="1"/>
  <c r="AF1533" i="1"/>
  <c r="AF1341" i="1"/>
  <c r="AF1604" i="1"/>
  <c r="AF1186" i="1"/>
  <c r="AF1103" i="1"/>
  <c r="AF1470" i="1"/>
  <c r="AF781" i="1"/>
  <c r="AF273" i="1"/>
  <c r="AF857" i="1"/>
  <c r="AF1310" i="1"/>
  <c r="AF1000" i="1"/>
  <c r="AF1198" i="1"/>
  <c r="AF1343" i="1"/>
  <c r="AF1088" i="1"/>
  <c r="AF1200" i="1"/>
  <c r="AF1362" i="1"/>
  <c r="AF1382" i="1"/>
  <c r="AF766" i="1"/>
  <c r="AF1440" i="1"/>
  <c r="AF1606" i="1"/>
  <c r="AF1385" i="1"/>
  <c r="AF1109" i="1"/>
  <c r="AF396" i="1"/>
  <c r="AF1601" i="1"/>
  <c r="AF892" i="1"/>
  <c r="AF416" i="1"/>
  <c r="AF521" i="1"/>
  <c r="AF1002" i="1"/>
  <c r="AF1494" i="1"/>
  <c r="AF925" i="1"/>
  <c r="AF1379" i="1"/>
  <c r="AF492" i="1"/>
  <c r="AF1223" i="1"/>
  <c r="AF1143" i="1"/>
  <c r="AF1178" i="1"/>
  <c r="AF981" i="1"/>
  <c r="AF1570" i="1"/>
  <c r="AF1369" i="1"/>
  <c r="AF1530" i="1"/>
  <c r="AF192" i="1"/>
  <c r="AF1187" i="1"/>
  <c r="AF919" i="1"/>
  <c r="AF1246" i="1"/>
  <c r="AF322" i="1"/>
  <c r="AF626" i="1"/>
  <c r="AF813" i="1"/>
  <c r="AF1126" i="1"/>
  <c r="AF1589" i="1"/>
  <c r="AF1445" i="1"/>
  <c r="AF1030" i="1"/>
  <c r="AF973" i="1"/>
  <c r="AF1475" i="1"/>
  <c r="AF718" i="1"/>
  <c r="AF1239" i="1"/>
  <c r="AF1275" i="1"/>
  <c r="AF763" i="1"/>
  <c r="AF1025" i="1"/>
  <c r="AF1289" i="1"/>
  <c r="AF1184" i="1"/>
  <c r="AF1233" i="1"/>
  <c r="AF805" i="1"/>
  <c r="AF739" i="1"/>
  <c r="AF1573" i="1"/>
  <c r="AF1442" i="1"/>
  <c r="AF254" i="1"/>
  <c r="AF1610" i="1"/>
  <c r="AF1496" i="1"/>
  <c r="AF1107" i="1"/>
  <c r="AF548" i="1"/>
  <c r="AF1220" i="1"/>
  <c r="AF1039" i="1"/>
  <c r="AF581" i="1"/>
  <c r="AF1426" i="1"/>
  <c r="AF1395" i="1"/>
  <c r="AF561" i="1"/>
  <c r="AF847" i="1"/>
  <c r="AF1486" i="1"/>
  <c r="AF992" i="1"/>
  <c r="AF1248" i="1"/>
  <c r="AF877" i="1"/>
  <c r="AF782" i="1"/>
  <c r="AF683" i="1"/>
  <c r="AF1267" i="1"/>
  <c r="AF1597" i="1"/>
  <c r="AF1449" i="1"/>
  <c r="AF291" i="1"/>
  <c r="AF1450" i="1"/>
  <c r="AF459" i="1"/>
  <c r="AF1307" i="1"/>
  <c r="AF861" i="1"/>
  <c r="AF1131" i="1"/>
  <c r="AF890" i="1"/>
  <c r="AF1197" i="1"/>
  <c r="AF977" i="1"/>
  <c r="AF481" i="1"/>
  <c r="AF1312" i="1"/>
  <c r="AF1073" i="1"/>
  <c r="AF867" i="1"/>
  <c r="AF870" i="1"/>
  <c r="AF674" i="1"/>
  <c r="AF807" i="1"/>
  <c r="AF455" i="1"/>
  <c r="AF1367" i="1"/>
  <c r="AF566" i="1"/>
  <c r="AF303" i="1"/>
  <c r="AF318" i="1"/>
  <c r="AF572" i="1"/>
  <c r="AF443" i="1"/>
  <c r="AF189" i="1"/>
  <c r="AF1085" i="1"/>
  <c r="AF129" i="1"/>
  <c r="AF1571" i="1"/>
  <c r="AF394" i="1"/>
  <c r="AF952" i="1"/>
  <c r="AF819" i="1"/>
  <c r="AF232" i="1"/>
  <c r="AF155" i="1"/>
  <c r="AF904" i="1"/>
  <c r="AF187" i="1"/>
  <c r="AF840" i="1"/>
  <c r="AF441" i="1"/>
  <c r="AF576" i="1"/>
  <c r="AF275" i="1"/>
  <c r="AF1099" i="1"/>
  <c r="AF222" i="1"/>
  <c r="AF550" i="1"/>
  <c r="AF245" i="1"/>
  <c r="AF1300" i="1"/>
  <c r="AF884" i="1"/>
  <c r="AF1482" i="1"/>
  <c r="AF908" i="1"/>
  <c r="AF1313" i="1"/>
  <c r="AF1586" i="1"/>
  <c r="AF154" i="1"/>
  <c r="AF149" i="1"/>
  <c r="AF432" i="1"/>
  <c r="AF1118" i="1"/>
  <c r="AF449" i="1"/>
  <c r="AF964" i="1"/>
  <c r="AF1216" i="1"/>
  <c r="AF339" i="1"/>
  <c r="AF495" i="1"/>
  <c r="AF694" i="1"/>
  <c r="AF399" i="1"/>
  <c r="AF1518" i="1"/>
  <c r="AF1355" i="1"/>
  <c r="AF1590" i="1"/>
  <c r="AF639" i="1"/>
  <c r="AF865" i="1"/>
  <c r="AF664" i="1"/>
  <c r="AF421" i="1"/>
  <c r="AF646" i="1"/>
  <c r="AF315" i="1"/>
  <c r="AF760" i="1"/>
  <c r="AF623" i="1"/>
  <c r="AF1104" i="1"/>
  <c r="AF1274" i="1"/>
  <c r="AF796" i="1"/>
  <c r="AF1505" i="1"/>
  <c r="AF609" i="1"/>
  <c r="AF257" i="1"/>
  <c r="AF647" i="1"/>
  <c r="AF1603" i="1"/>
  <c r="AF417" i="1"/>
  <c r="AF268" i="1"/>
  <c r="AF717" i="1"/>
  <c r="AF136" i="1"/>
  <c r="AF905" i="1"/>
  <c r="AF305" i="1"/>
  <c r="AF1329" i="1"/>
  <c r="AF1210" i="1"/>
  <c r="AF1446" i="1"/>
  <c r="AF327" i="1"/>
  <c r="AF88" i="1"/>
  <c r="AF1413" i="1"/>
  <c r="AF1078" i="1"/>
  <c r="AF765" i="1"/>
  <c r="AF285" i="1"/>
  <c r="AF549" i="1"/>
  <c r="AF290" i="1"/>
  <c r="AF1504" i="1"/>
  <c r="AF945" i="1"/>
  <c r="AF153" i="1"/>
  <c r="AF587" i="1"/>
  <c r="AF516" i="1"/>
  <c r="AF1041" i="1"/>
  <c r="AF1211" i="1"/>
  <c r="AF798" i="1"/>
  <c r="AF511" i="1"/>
  <c r="AF583" i="1"/>
  <c r="AF850" i="1"/>
  <c r="AF227" i="1"/>
  <c r="AF1170" i="1"/>
  <c r="AF440" i="1"/>
  <c r="AF1113" i="1"/>
  <c r="AF246" i="1"/>
  <c r="AF528" i="1"/>
  <c r="AF876" i="1"/>
  <c r="AF458" i="1"/>
  <c r="AF653" i="1"/>
  <c r="AF1094" i="1"/>
  <c r="AF1407" i="1"/>
  <c r="AF1583" i="1"/>
  <c r="AF615" i="1"/>
  <c r="AF860" i="1"/>
  <c r="AF168" i="1"/>
  <c r="AF386" i="1"/>
  <c r="AF675" i="1"/>
  <c r="AF556" i="1"/>
  <c r="AF1161" i="1"/>
  <c r="AF695" i="1"/>
  <c r="AF69" i="1"/>
  <c r="AF403" i="1"/>
  <c r="AF1430" i="1"/>
  <c r="AF100" i="1"/>
  <c r="AF237" i="1"/>
  <c r="AF820" i="1"/>
  <c r="AF252" i="1"/>
  <c r="AF726" i="1"/>
  <c r="AF351" i="1"/>
  <c r="AF248" i="1"/>
  <c r="AF597" i="1"/>
  <c r="AF472" i="1"/>
  <c r="AF435" i="1"/>
  <c r="AF242" i="1"/>
  <c r="AF921" i="1"/>
  <c r="AF773" i="1"/>
  <c r="AF380" i="1"/>
  <c r="AF648" i="1"/>
  <c r="AF1112" i="1"/>
  <c r="AF301" i="1"/>
  <c r="AF97" i="1"/>
  <c r="AF383" i="1"/>
  <c r="AF460" i="1"/>
  <c r="AF108" i="1"/>
  <c r="AF686" i="1"/>
  <c r="AF967" i="1"/>
  <c r="AF311" i="1"/>
  <c r="AF802" i="1"/>
  <c r="AF114" i="1"/>
  <c r="AF128" i="1"/>
  <c r="AF186" i="1"/>
  <c r="AF1093" i="1"/>
  <c r="AF564" i="1"/>
  <c r="AF347" i="1"/>
  <c r="AF366" i="1"/>
  <c r="AF688" i="1"/>
  <c r="AF1245" i="1"/>
  <c r="AF1308" i="1"/>
  <c r="AF1079" i="1"/>
  <c r="AF1182" i="1"/>
  <c r="AF1423" i="1"/>
  <c r="AF488" i="1"/>
  <c r="AF152" i="1"/>
  <c r="AF1124" i="1"/>
  <c r="AF167" i="1"/>
  <c r="AF1381" i="1"/>
  <c r="AF852" i="1"/>
  <c r="AF617" i="1"/>
  <c r="AF946" i="1"/>
  <c r="AF223" i="1"/>
  <c r="AF1152" i="1"/>
  <c r="AF708" i="1"/>
  <c r="AF131" i="1"/>
  <c r="AF1467" i="1"/>
  <c r="AF923" i="1"/>
  <c r="AF91" i="1"/>
  <c r="AF381" i="1"/>
  <c r="AF1228" i="1"/>
  <c r="AF171" i="1"/>
  <c r="AF753" i="1"/>
  <c r="AF968" i="1"/>
  <c r="AF1401" i="1"/>
  <c r="AF898" i="1"/>
  <c r="AF1487" i="1"/>
  <c r="AF276" i="1"/>
  <c r="AF321" i="1"/>
  <c r="AF887" i="1"/>
  <c r="AF465" i="1"/>
  <c r="AF474" i="1"/>
  <c r="AF341" i="1"/>
  <c r="AF199" i="1"/>
  <c r="AF596" i="1"/>
  <c r="AF1340" i="1"/>
  <c r="AF240" i="1"/>
  <c r="AF117" i="1"/>
  <c r="AF362" i="1"/>
  <c r="AF1015" i="1"/>
  <c r="AF1373" i="1"/>
  <c r="AF434" i="1"/>
  <c r="AF406" i="1"/>
  <c r="AM41" i="1"/>
  <c r="N30" i="1" s="1"/>
  <c r="N26" i="1"/>
  <c r="AU17" i="1"/>
  <c r="AV17" i="1" s="1"/>
  <c r="AZ1" i="1" s="1"/>
  <c r="AV18" i="1"/>
  <c r="AW18" i="1" s="1"/>
  <c r="F26" i="1"/>
  <c r="Y12" i="4"/>
  <c r="N12" i="4" s="1"/>
  <c r="AM36" i="1" l="1"/>
  <c r="N25" i="1" s="1"/>
  <c r="F24" i="2"/>
  <c r="F31" i="2"/>
  <c r="BQ21" i="1"/>
  <c r="AW17" i="1"/>
  <c r="L46" i="1" s="1"/>
  <c r="AM21" i="1" l="1"/>
  <c r="R22" i="1" s="1"/>
  <c r="AL3" i="2"/>
  <c r="AL2" i="2" s="1"/>
  <c r="E31" i="2" s="1"/>
  <c r="E2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AX13" authorId="0" shapeId="0" xr:uid="{3A8DC6D0-D4EF-42EB-AA9A-9B9C66526DC7}">
      <text>
        <r>
          <rPr>
            <b/>
            <sz val="9"/>
            <color indexed="81"/>
            <rFont val="Tahoma"/>
            <family val="2"/>
          </rPr>
          <t>Hulab:</t>
        </r>
        <r>
          <rPr>
            <sz val="9"/>
            <color indexed="81"/>
            <rFont val="Tahoma"/>
            <family val="2"/>
          </rPr>
          <t xml:space="preserve">
Tester positiv, hvis værdier for konc/tryk er udfyldt korrekt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tc={23DBB8C4-89CB-4674-A0CD-D80C2026B417}</author>
  </authors>
  <commentList>
    <comment ref="Y3" authorId="0" shapeId="0" xr:uid="{23DBB8C4-89CB-4674-A0CD-D80C2026B417}">
      <text>
        <t>[Threaded comment]
Your version of Excel allows you to read this threaded comment; however, any edits to it will get removed if the file is opened in a newer version of Excel. Learn more: https://go.microsoft.com/fwlink/?linkid=870924
Comment:
    Det her er opgangningsfaktoren. Der er 2 forskellige fejl ved den her metode. Det ene er, at den ikke kan finde ud af at gange med 3. Det kan måske løses ved at sammenligne mellem hvordan faktoren er lavest ( i den ene værdi skal man forsøge at gange med 3 inden man laver darklab shit).
Den anden lidt mere irriterende fejl er hvis der både er en opgang med 2 og 3 i 2 forskellige forbindelser.. Det vil altså svare til 6. Det kunne måske løses ved at tjekke om tallet er heltalligt efter opgangning O_o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M3" authorId="0" shapeId="0" xr:uid="{B56F9D13-6C0E-4892-AEA8-C06356949E11}">
      <text>
        <r>
          <rPr>
            <b/>
            <sz val="9"/>
            <color indexed="81"/>
            <rFont val="Tahoma"/>
            <family val="2"/>
          </rPr>
          <t>Niels Kaldal Kræmmer:</t>
        </r>
        <r>
          <rPr>
            <sz val="9"/>
            <color indexed="81"/>
            <rFont val="Tahoma"/>
            <family val="2"/>
          </rPr>
          <t xml:space="preserve">
Denne beregner kan kun bruges med aktuelle koncentrationer eller aktuelle stofmængder. Beregn dem selv forinden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<sst xmlns="http://schemas.openxmlformats.org/spreadsheetml/2006/main" count="10726" uniqueCount="5851">
  <si>
    <t>foce</t>
  </si>
  <si>
    <t>ion1</t>
  </si>
  <si>
    <t>molarmasse</t>
  </si>
  <si>
    <t>bar-count</t>
  </si>
  <si>
    <t>M-count</t>
  </si>
  <si>
    <t>opløselighedsreaktionstest</t>
  </si>
  <si>
    <t>ion2</t>
  </si>
  <si>
    <t>manuel</t>
  </si>
  <si>
    <t>Antal betydende cifre</t>
  </si>
  <si>
    <t>Både reaktanter og produkter?</t>
  </si>
  <si>
    <t>ophøjet</t>
  </si>
  <si>
    <t>^2</t>
  </si>
  <si>
    <t>²</t>
  </si>
  <si>
    <t>Reaktant 1</t>
  </si>
  <si>
    <t>Reaktant 2</t>
  </si>
  <si>
    <t>Reaktant 3</t>
  </si>
  <si>
    <t>Produkt 1</t>
  </si>
  <si>
    <t>Produkt 2</t>
  </si>
  <si>
    <t>Produkt 3</t>
  </si>
  <si>
    <t>Koefficient</t>
  </si>
  <si>
    <t>Kemisk formel</t>
  </si>
  <si>
    <t>Tilstandsform</t>
  </si>
  <si>
    <t>Søgningstatus</t>
  </si>
  <si>
    <t>evt. værdi for [A] / p (A)</t>
  </si>
  <si>
    <t>Test tilstand</t>
  </si>
  <si>
    <t>test koeff</t>
  </si>
  <si>
    <t>ΔH°</t>
  </si>
  <si>
    <t>ΔS°</t>
  </si>
  <si>
    <t>ΔG°</t>
  </si>
  <si>
    <t>M</t>
  </si>
  <si>
    <t>Temperatur (K)</t>
  </si>
  <si>
    <t>H°</t>
  </si>
  <si>
    <t>⟶</t>
  </si>
  <si>
    <t>Nævner</t>
  </si>
  <si>
    <t>^3</t>
  </si>
  <si>
    <t>³</t>
  </si>
  <si>
    <t>ln K</t>
  </si>
  <si>
    <t>K</t>
  </si>
  <si>
    <t>c</t>
  </si>
  <si>
    <t>m</t>
  </si>
  <si>
    <t>tilstandsform</t>
  </si>
  <si>
    <t xml:space="preserve">⟶ </t>
  </si>
  <si>
    <t>Reaktant+produkt?</t>
  </si>
  <si>
    <t>Hr</t>
  </si>
  <si>
    <t>^4</t>
  </si>
  <si>
    <t>⁴</t>
  </si>
  <si>
    <t>N₂O</t>
  </si>
  <si>
    <t>g</t>
  </si>
  <si>
    <t>aq</t>
  </si>
  <si>
    <t>ΔH°-data</t>
  </si>
  <si>
    <t>S°</t>
  </si>
  <si>
    <t>Hp</t>
  </si>
  <si>
    <t>^5</t>
  </si>
  <si>
    <t>⁵</t>
  </si>
  <si>
    <t>Status</t>
  </si>
  <si>
    <t>ΔS°-data</t>
  </si>
  <si>
    <t>Sr</t>
  </si>
  <si>
    <t>^6</t>
  </si>
  <si>
    <t>⁶</t>
  </si>
  <si>
    <t>p eller [A]</t>
  </si>
  <si>
    <t>ΔG° (298 K)-databog</t>
  </si>
  <si>
    <t>G°</t>
  </si>
  <si>
    <t>sp</t>
  </si>
  <si>
    <t>^7</t>
  </si>
  <si>
    <t>⁷</t>
  </si>
  <si>
    <t>K(25°C, databog)</t>
  </si>
  <si>
    <t>Gr</t>
  </si>
  <si>
    <t>^8</t>
  </si>
  <si>
    <t>⁸</t>
  </si>
  <si>
    <t>Gp</t>
  </si>
  <si>
    <t>^9</t>
  </si>
  <si>
    <t>⁹</t>
  </si>
  <si>
    <t>Tæller:</t>
  </si>
  <si>
    <t>⁻¹</t>
  </si>
  <si>
    <t>Std ligevægts Temp</t>
  </si>
  <si>
    <t>⁻²</t>
  </si>
  <si>
    <t>Fra opgavetekst:</t>
  </si>
  <si>
    <t>Y</t>
  </si>
  <si>
    <t>⁻³</t>
  </si>
  <si>
    <t>ΔG</t>
  </si>
  <si>
    <t>⁻⁴</t>
  </si>
  <si>
    <t>T</t>
  </si>
  <si>
    <t>1/T</t>
  </si>
  <si>
    <t>ln(K)</t>
  </si>
  <si>
    <r>
      <rPr>
        <sz val="10"/>
        <color theme="1"/>
        <rFont val="Calibri"/>
        <family val="2"/>
        <scheme val="minor"/>
      </rPr>
      <t>ΔS°</t>
    </r>
    <r>
      <rPr>
        <sz val="8"/>
        <color theme="1"/>
        <rFont val="Calibri"/>
        <family val="2"/>
        <scheme val="minor"/>
      </rPr>
      <t xml:space="preserve"> J/(mol∙K)</t>
    </r>
  </si>
  <si>
    <t>p / [A]</t>
  </si>
  <si>
    <t>Enhed for Y/K</t>
  </si>
  <si>
    <t>₂</t>
  </si>
  <si>
    <t>_2</t>
  </si>
  <si>
    <r>
      <t>ΔH°</t>
    </r>
    <r>
      <rPr>
        <sz val="8"/>
        <color theme="1"/>
        <rFont val="Calibri"/>
        <family val="2"/>
        <scheme val="minor"/>
      </rPr>
      <t xml:space="preserve"> kJ/mol</t>
    </r>
  </si>
  <si>
    <t>₃</t>
  </si>
  <si>
    <t>_3</t>
  </si>
  <si>
    <t>Bety. cifre</t>
  </si>
  <si>
    <t>Kelvin-temperatur</t>
  </si>
  <si>
    <t>₄</t>
  </si>
  <si>
    <t>_4</t>
  </si>
  <si>
    <t xml:space="preserve">COPYPASTE NEDENSTÅENDE </t>
  </si>
  <si>
    <t>Celsius-Temperatur</t>
  </si>
  <si>
    <t>FULL REPORT</t>
  </si>
  <si>
    <t>₅</t>
  </si>
  <si>
    <t>_5</t>
  </si>
  <si>
    <t>Størrelse</t>
  </si>
  <si>
    <t>Beregnede værdier:</t>
  </si>
  <si>
    <t>Kommentar</t>
  </si>
  <si>
    <t>Fuld forklaring til kopiering</t>
  </si>
  <si>
    <t>ORANGE FELT IND I WORD:</t>
  </si>
  <si>
    <t xml:space="preserve"> </t>
  </si>
  <si>
    <t>₆</t>
  </si>
  <si>
    <t>_6</t>
  </si>
  <si>
    <t>Beregning af ΔH°</t>
  </si>
  <si>
    <t>₇</t>
  </si>
  <si>
    <t>_7</t>
  </si>
  <si>
    <t>Beregning af ΔS°</t>
  </si>
  <si>
    <t>₈</t>
  </si>
  <si>
    <t>_8</t>
  </si>
  <si>
    <t>Beregning af ΔG°(298 K)</t>
  </si>
  <si>
    <t>₉</t>
  </si>
  <si>
    <t>_9</t>
  </si>
  <si>
    <t>Reaktionsskema</t>
  </si>
  <si>
    <t xml:space="preserve"> ⟶ </t>
  </si>
  <si>
    <t>ΣH°ᵣ</t>
  </si>
  <si>
    <t>ΣH°ₚ</t>
  </si>
  <si>
    <t xml:space="preserve">ΣS°ᵣ </t>
  </si>
  <si>
    <t>ΣS°ₚ</t>
  </si>
  <si>
    <t>ΣG°ᵣ</t>
  </si>
  <si>
    <t>ΣG°ₚ</t>
  </si>
  <si>
    <t>intro</t>
  </si>
  <si>
    <t>Værdier for [A] / p(A) er lovlige</t>
  </si>
  <si>
    <t>H°,auto (kJ/mol)</t>
  </si>
  <si>
    <t>antal reak</t>
  </si>
  <si>
    <t>T, hvor ΔG° = 0</t>
  </si>
  <si>
    <t>H°, manuel (kJ/mol)</t>
  </si>
  <si>
    <t>antal pro</t>
  </si>
  <si>
    <t>Reaktionsbrøken, Y</t>
  </si>
  <si>
    <t>S°,auto (J/mol∙K)</t>
  </si>
  <si>
    <t xml:space="preserve">Værdien for Y </t>
  </si>
  <si>
    <t>S°, manuel (J/mol∙K)</t>
  </si>
  <si>
    <t>omskrevet Y:</t>
  </si>
  <si>
    <t>Værdien for ΔG</t>
  </si>
  <si>
    <t>G° (298 K),auto (kJ/mol)</t>
  </si>
  <si>
    <t>G° (298 K), manuel (kJ/mol)</t>
  </si>
  <si>
    <t>Intro til grafer</t>
  </si>
  <si>
    <t>Forklaring hvis vant hoff plot</t>
  </si>
  <si>
    <t>Forklaring hvis ΔG° vs T plott</t>
  </si>
  <si>
    <t>Temperatur, hvor ΔG° = 0</t>
  </si>
  <si>
    <t>Reaktionsbrøken for reaktionen</t>
  </si>
  <si>
    <t>Forskrift fra ln K vs 1/T plot (Van't Hoff)</t>
  </si>
  <si>
    <t>a-værdi:</t>
  </si>
  <si>
    <t>b-værdi:</t>
  </si>
  <si>
    <t>Kemisk formel
(ved organisk kemi primært kompakt formel)</t>
  </si>
  <si>
    <t>Forkerte Formler men med paranteser</t>
  </si>
  <si>
    <t>Forkerte formler</t>
  </si>
  <si>
    <t>Trivialnavn eller alternativt navn</t>
  </si>
  <si>
    <t>Navn (IUPAC- som angivet i 2009)</t>
  </si>
  <si>
    <t>Molarmasse [g/mol]</t>
  </si>
  <si>
    <t>H Molarstandardentalpi [kJ∙mol⁻¹]</t>
  </si>
  <si>
    <t>S Molarstandardentropi [J∙mol⁻¹∙K⁻¹)]</t>
  </si>
  <si>
    <t>G Molarstandardgibssenergi 298K [kJ∙mol⁻¹]</t>
  </si>
  <si>
    <t>Al</t>
  </si>
  <si>
    <t>aluminium</t>
  </si>
  <si>
    <t>s</t>
  </si>
  <si>
    <t>0</t>
  </si>
  <si>
    <t>329,7</t>
  </si>
  <si>
    <t>Al³⁺</t>
  </si>
  <si>
    <t>Al3+</t>
  </si>
  <si>
    <t>aluminium(III)ion</t>
  </si>
  <si>
    <t>aluminiumion</t>
  </si>
  <si>
    <t>5483,9</t>
  </si>
  <si>
    <t>-</t>
  </si>
  <si>
    <t>-538,4</t>
  </si>
  <si>
    <t>AlBr₃</t>
  </si>
  <si>
    <t>AlBr3</t>
  </si>
  <si>
    <t>aluminiumbromid</t>
  </si>
  <si>
    <t>-527,2</t>
  </si>
  <si>
    <t>Al₄C₃</t>
  </si>
  <si>
    <t>Al4C3</t>
  </si>
  <si>
    <t>aluminiumcarbid</t>
  </si>
  <si>
    <t>208,81</t>
  </si>
  <si>
    <t>AlCl₃</t>
  </si>
  <si>
    <t>AlCl3</t>
  </si>
  <si>
    <t>aluminiumtrichlorid</t>
  </si>
  <si>
    <t>aluminiumchlorid</t>
  </si>
  <si>
    <t>-704,2</t>
  </si>
  <si>
    <t>AlCl₃∙6H₂O</t>
  </si>
  <si>
    <t>AlCl3*6H2O</t>
  </si>
  <si>
    <t>AlCl36H2O</t>
  </si>
  <si>
    <t>aluminiumchlorid-vand(1/6)</t>
  </si>
  <si>
    <t>-2691,6</t>
  </si>
  <si>
    <t>AlF₃</t>
  </si>
  <si>
    <t>AlF3</t>
  </si>
  <si>
    <t>aluminiumtrifluorid</t>
  </si>
  <si>
    <t>aluminiumfluorid</t>
  </si>
  <si>
    <t>-1510,4</t>
  </si>
  <si>
    <t>Al(OH)₃</t>
  </si>
  <si>
    <t>Al(OH)3</t>
  </si>
  <si>
    <t>AlOH3</t>
  </si>
  <si>
    <t>aluminiumhydroxid</t>
  </si>
  <si>
    <t>-1276</t>
  </si>
  <si>
    <t>Al(NO₃)₃∙9H₂O</t>
  </si>
  <si>
    <t>Al(NO3)3*9H2O</t>
  </si>
  <si>
    <t>AlNO339H2O</t>
  </si>
  <si>
    <t>aluminiumnitrat-vand(1/9)</t>
  </si>
  <si>
    <t>-3757,0</t>
  </si>
  <si>
    <t>Al₂O₃</t>
  </si>
  <si>
    <t>Al2O3</t>
  </si>
  <si>
    <t>aluminiumoxid</t>
  </si>
  <si>
    <t>-1675,7</t>
  </si>
  <si>
    <t>AlPO₄</t>
  </si>
  <si>
    <t>AlPO4</t>
  </si>
  <si>
    <t>aluminiumphosphat</t>
  </si>
  <si>
    <t>-1733,8</t>
  </si>
  <si>
    <t>Al₂(SO₄)₃</t>
  </si>
  <si>
    <t>Al2(SO4)3</t>
  </si>
  <si>
    <t>Al2SO43</t>
  </si>
  <si>
    <t>aluminiumsulfat</t>
  </si>
  <si>
    <t>-3440,8</t>
  </si>
  <si>
    <t>Al₂(SO₄)₃∙18H₂O</t>
  </si>
  <si>
    <t>Al2(SO4)3*18H2O</t>
  </si>
  <si>
    <t>Al2SO4318H2O</t>
  </si>
  <si>
    <t>aluminiumsulfat-vand(1/18)</t>
  </si>
  <si>
    <t/>
  </si>
  <si>
    <t>AlO₂⁻</t>
  </si>
  <si>
    <t>AlO2-</t>
  </si>
  <si>
    <t>aluminat</t>
  </si>
  <si>
    <t>-930,9</t>
  </si>
  <si>
    <t>AlF₆³⁻</t>
  </si>
  <si>
    <t>AlF63-</t>
  </si>
  <si>
    <t>hexafluoroaluminat</t>
  </si>
  <si>
    <t>-2522</t>
  </si>
  <si>
    <t>Sb</t>
  </si>
  <si>
    <t>antimon</t>
  </si>
  <si>
    <t>SbCl₃</t>
  </si>
  <si>
    <t>SbCl3</t>
  </si>
  <si>
    <t>antimontrichlorid</t>
  </si>
  <si>
    <t>antimon(III)chlorid</t>
  </si>
  <si>
    <t>-382,27</t>
  </si>
  <si>
    <t>SbCl₅</t>
  </si>
  <si>
    <t>SbCl5</t>
  </si>
  <si>
    <t>antimon(V)chlorid</t>
  </si>
  <si>
    <t>l</t>
  </si>
  <si>
    <t>-440,2</t>
  </si>
  <si>
    <t>SbH₃</t>
  </si>
  <si>
    <t>SbH3</t>
  </si>
  <si>
    <t>antimon(III)hydrid</t>
  </si>
  <si>
    <t>145,10</t>
  </si>
  <si>
    <t>Sb₂O₃</t>
  </si>
  <si>
    <t>Sb2O3</t>
  </si>
  <si>
    <t>valentinit</t>
  </si>
  <si>
    <t>antimon(III)oxid</t>
  </si>
  <si>
    <t>-711,6</t>
  </si>
  <si>
    <t>Sb₂O₅</t>
  </si>
  <si>
    <t>Sb2O5</t>
  </si>
  <si>
    <t>antimon(V)oxid</t>
  </si>
  <si>
    <t>-971,9</t>
  </si>
  <si>
    <t>SbOCl</t>
  </si>
  <si>
    <t>antimon(III)chloridoxid</t>
  </si>
  <si>
    <t>-374,0</t>
  </si>
  <si>
    <t>Sb₂S₃</t>
  </si>
  <si>
    <t>Sb2S3</t>
  </si>
  <si>
    <t>antimon(III)sulfid</t>
  </si>
  <si>
    <t>-174,9</t>
  </si>
  <si>
    <t>Sb₂S₅</t>
  </si>
  <si>
    <t>Sb2S5</t>
  </si>
  <si>
    <t>antimon(V)sulfid</t>
  </si>
  <si>
    <t>H₃SbO₄</t>
  </si>
  <si>
    <t>H3SbO4</t>
  </si>
  <si>
    <t>antimonsyre</t>
  </si>
  <si>
    <t>-907,1</t>
  </si>
  <si>
    <t>Ar</t>
  </si>
  <si>
    <t>argon</t>
  </si>
  <si>
    <t>As</t>
  </si>
  <si>
    <t>arsen</t>
  </si>
  <si>
    <t>As₄</t>
  </si>
  <si>
    <t>As4</t>
  </si>
  <si>
    <t>tetraarsen</t>
  </si>
  <si>
    <t>143,9</t>
  </si>
  <si>
    <t>AsCl₃</t>
  </si>
  <si>
    <t>AsCl3</t>
  </si>
  <si>
    <t>arsen(III)chlorid</t>
  </si>
  <si>
    <t>-305,0</t>
  </si>
  <si>
    <t>AsH₃</t>
  </si>
  <si>
    <t>AsH3</t>
  </si>
  <si>
    <t>arsan</t>
  </si>
  <si>
    <t>arsen(III)hydrid</t>
  </si>
  <si>
    <t>66,44</t>
  </si>
  <si>
    <t>As₂O₃</t>
  </si>
  <si>
    <t>As2O3</t>
  </si>
  <si>
    <t>arsenik</t>
  </si>
  <si>
    <t>arsen(III)oxid</t>
  </si>
  <si>
    <t>-653,0</t>
  </si>
  <si>
    <t>As₂O₅</t>
  </si>
  <si>
    <t>As2O5</t>
  </si>
  <si>
    <t>arsen(V)oxid</t>
  </si>
  <si>
    <t>-924,9</t>
  </si>
  <si>
    <t>As₂S₃</t>
  </si>
  <si>
    <t>As2S3</t>
  </si>
  <si>
    <t>arsen(III)sulfid</t>
  </si>
  <si>
    <t>-169</t>
  </si>
  <si>
    <t>H₃AsO₄</t>
  </si>
  <si>
    <t>H3AsO4</t>
  </si>
  <si>
    <t>arsensyre</t>
  </si>
  <si>
    <t>-904,58</t>
  </si>
  <si>
    <t>AsO₄³⁻</t>
  </si>
  <si>
    <t>AsO43-</t>
  </si>
  <si>
    <t>arsenat</t>
  </si>
  <si>
    <t>-888,1</t>
  </si>
  <si>
    <t>AsO₂⁻</t>
  </si>
  <si>
    <t>AsO2-</t>
  </si>
  <si>
    <t>arsenit</t>
  </si>
  <si>
    <t>-429,0</t>
  </si>
  <si>
    <t>Ba</t>
  </si>
  <si>
    <t>barium</t>
  </si>
  <si>
    <t>Ba²⁺</t>
  </si>
  <si>
    <t>Ba2+</t>
  </si>
  <si>
    <t>barium(II)ion</t>
  </si>
  <si>
    <t>bariumion</t>
  </si>
  <si>
    <t>1660,5</t>
  </si>
  <si>
    <t>-537,64</t>
  </si>
  <si>
    <t>BaBr₂</t>
  </si>
  <si>
    <t>BaBr2</t>
  </si>
  <si>
    <t>bariumbromid</t>
  </si>
  <si>
    <t>-757,3</t>
  </si>
  <si>
    <t>BaCO₃</t>
  </si>
  <si>
    <t>BaCO3</t>
  </si>
  <si>
    <t>bariumcarbonat</t>
  </si>
  <si>
    <t>-1216,3</t>
  </si>
  <si>
    <t>BaCl₂</t>
  </si>
  <si>
    <t>BaCl2</t>
  </si>
  <si>
    <t>bariumchlorid</t>
  </si>
  <si>
    <t>-855,0</t>
  </si>
  <si>
    <t>BaCl₂∙2H₂O</t>
  </si>
  <si>
    <t>BaCl2*2H2O</t>
  </si>
  <si>
    <t>BaCl22H2O</t>
  </si>
  <si>
    <t>bariumchlorid-vand(1/2)</t>
  </si>
  <si>
    <t>-1456,9</t>
  </si>
  <si>
    <t>BaCrO₄</t>
  </si>
  <si>
    <t>BaCrO4</t>
  </si>
  <si>
    <t>bariumchromat</t>
  </si>
  <si>
    <t>-1445,9</t>
  </si>
  <si>
    <t>BaH₂</t>
  </si>
  <si>
    <t>BaH2</t>
  </si>
  <si>
    <t>bariumhydrid</t>
  </si>
  <si>
    <t>-177,0</t>
  </si>
  <si>
    <t>Ba(OH)₂</t>
  </si>
  <si>
    <t>Ba(OH)2</t>
  </si>
  <si>
    <t>BaOH2</t>
  </si>
  <si>
    <t>bariumhydroxid</t>
  </si>
  <si>
    <t>-944,7</t>
  </si>
  <si>
    <t>Ba(OH)₂∙8H₂O</t>
  </si>
  <si>
    <t>Ba(OH)2*8H2O</t>
  </si>
  <si>
    <t>BaOH28H2O</t>
  </si>
  <si>
    <t>bariumhydroxid-vand(1/8)</t>
  </si>
  <si>
    <t>-3342,2</t>
  </si>
  <si>
    <t>Ba(NO₃)₂</t>
  </si>
  <si>
    <t>Ba(NO3)2</t>
  </si>
  <si>
    <t>BaNO32</t>
  </si>
  <si>
    <t>bariumnitrat</t>
  </si>
  <si>
    <t>-988,0</t>
  </si>
  <si>
    <t>BaO</t>
  </si>
  <si>
    <t>bariumoxid</t>
  </si>
  <si>
    <t>-548,0</t>
  </si>
  <si>
    <t>BaO₂</t>
  </si>
  <si>
    <t>BaO2</t>
  </si>
  <si>
    <t>bariumperoxid</t>
  </si>
  <si>
    <t>-634,3</t>
  </si>
  <si>
    <t>BaSO₄</t>
  </si>
  <si>
    <t>BaSO4</t>
  </si>
  <si>
    <t>tungspat</t>
  </si>
  <si>
    <t>bariumsulfat</t>
  </si>
  <si>
    <t>-1473,2</t>
  </si>
  <si>
    <t>Be</t>
  </si>
  <si>
    <t>beryllium</t>
  </si>
  <si>
    <t>Be²⁺</t>
  </si>
  <si>
    <t>Be2+</t>
  </si>
  <si>
    <t>berylliumion</t>
  </si>
  <si>
    <t>beryllium(II)ion</t>
  </si>
  <si>
    <t>2993,2</t>
  </si>
  <si>
    <t>-382,8</t>
  </si>
  <si>
    <t>BeCl₂</t>
  </si>
  <si>
    <t>BeCl2</t>
  </si>
  <si>
    <t>berylliumchlorid</t>
  </si>
  <si>
    <t>-490,4</t>
  </si>
  <si>
    <t>Be(NO₃)₂∙3H₂O</t>
  </si>
  <si>
    <t>Be(NO3)2*3H2O</t>
  </si>
  <si>
    <t>BeNO323H2O</t>
  </si>
  <si>
    <t>berylliumnitrat-vand(1/3)</t>
  </si>
  <si>
    <t>-787,8</t>
  </si>
  <si>
    <t>BeO</t>
  </si>
  <si>
    <t>berylliumoxid</t>
  </si>
  <si>
    <t>-609,4</t>
  </si>
  <si>
    <t>BeSO₄∙4H₂O</t>
  </si>
  <si>
    <t>BeSO4*4H2O</t>
  </si>
  <si>
    <t>BeSO44H2O</t>
  </si>
  <si>
    <t>berylliumsulfat-vand(1/4)</t>
  </si>
  <si>
    <t>-2423,73</t>
  </si>
  <si>
    <t>Bi</t>
  </si>
  <si>
    <t>bismuth</t>
  </si>
  <si>
    <t>Bi³⁺</t>
  </si>
  <si>
    <t>Bi3+</t>
  </si>
  <si>
    <t>bismuth(III)ion</t>
  </si>
  <si>
    <t>80,60</t>
  </si>
  <si>
    <t>BiCl₃</t>
  </si>
  <si>
    <t>BiCl3</t>
  </si>
  <si>
    <t>bismuth(III)chlorid</t>
  </si>
  <si>
    <t>-379,1</t>
  </si>
  <si>
    <t>BiCl₄</t>
  </si>
  <si>
    <t>BiCl4</t>
  </si>
  <si>
    <t>bismuth(IV)chlorid</t>
  </si>
  <si>
    <t>Bi(OH)₃</t>
  </si>
  <si>
    <t>Bi(OH)3</t>
  </si>
  <si>
    <t>BiOH3</t>
  </si>
  <si>
    <t>bismuth(III)hydroxid</t>
  </si>
  <si>
    <t>-711,3</t>
  </si>
  <si>
    <t>Bi(NO₃)₃∙5H₂O</t>
  </si>
  <si>
    <t>Bi(NO3)3*5H2O</t>
  </si>
  <si>
    <t>BiNO335H2O</t>
  </si>
  <si>
    <t>bismuth(III)nitrat-vand(1/5)</t>
  </si>
  <si>
    <t>-2002,9</t>
  </si>
  <si>
    <t>BiOCl</t>
  </si>
  <si>
    <t>bismuth(III)oxidchlorid</t>
  </si>
  <si>
    <t>-366,9</t>
  </si>
  <si>
    <t>HBiO₃</t>
  </si>
  <si>
    <t>HBiO3</t>
  </si>
  <si>
    <t>bismuthsyre</t>
  </si>
  <si>
    <t>Pb</t>
  </si>
  <si>
    <t>plumbum</t>
  </si>
  <si>
    <t>bly</t>
  </si>
  <si>
    <t>Pb²⁺</t>
  </si>
  <si>
    <t>Pb2+</t>
  </si>
  <si>
    <t>blyion</t>
  </si>
  <si>
    <t>bly(II)ion</t>
  </si>
  <si>
    <t>2371,9</t>
  </si>
  <si>
    <t>0,92</t>
  </si>
  <si>
    <t>Pb(CH₃COO)₂∙3H₂O</t>
  </si>
  <si>
    <t>Pb(CH3COO)2*3H2O</t>
  </si>
  <si>
    <t>PbCH3COO23H2O</t>
  </si>
  <si>
    <t>blysukker</t>
  </si>
  <si>
    <t>bly(II)ethanoat-vand(1/3)</t>
  </si>
  <si>
    <t>-1851,5</t>
  </si>
  <si>
    <t>Pb(N₃)₂</t>
  </si>
  <si>
    <t>Pb(N3)2</t>
  </si>
  <si>
    <t>PbN32</t>
  </si>
  <si>
    <t>bly(II)azid</t>
  </si>
  <si>
    <t>436,4</t>
  </si>
  <si>
    <t>PbBr₂</t>
  </si>
  <si>
    <t>PbBr2</t>
  </si>
  <si>
    <t>bly(II)bromid</t>
  </si>
  <si>
    <t>-277,02</t>
  </si>
  <si>
    <t>PbCl₂</t>
  </si>
  <si>
    <t>PbCl2</t>
  </si>
  <si>
    <t>bly(II)chlorid</t>
  </si>
  <si>
    <t>-359,20</t>
  </si>
  <si>
    <t>PbCl₄</t>
  </si>
  <si>
    <t>PbCl4</t>
  </si>
  <si>
    <t>bly(IV)chlorid</t>
  </si>
  <si>
    <t>-329,2</t>
  </si>
  <si>
    <t>PbCrO₄</t>
  </si>
  <si>
    <t>PbCrO4</t>
  </si>
  <si>
    <t>bly(II)chromat</t>
  </si>
  <si>
    <t>-942,2</t>
  </si>
  <si>
    <t>Pb(OH)₂</t>
  </si>
  <si>
    <t>Pb(OH)2</t>
  </si>
  <si>
    <t>PbOH2</t>
  </si>
  <si>
    <t>bly(II)hydroxid</t>
  </si>
  <si>
    <t>-514,6</t>
  </si>
  <si>
    <t>PbI₂</t>
  </si>
  <si>
    <t>PbI2</t>
  </si>
  <si>
    <t>bly(II)iodid</t>
  </si>
  <si>
    <t>-175,5</t>
  </si>
  <si>
    <t>Pb(NO₃)₂</t>
  </si>
  <si>
    <t>Pb(NO3)2</t>
  </si>
  <si>
    <t>PbNO32</t>
  </si>
  <si>
    <t>bly(II)nitrat</t>
  </si>
  <si>
    <t>-449,15</t>
  </si>
  <si>
    <t>PbO</t>
  </si>
  <si>
    <t>bly(II)oxid</t>
  </si>
  <si>
    <t>-217,9</t>
  </si>
  <si>
    <t>s,rødt</t>
  </si>
  <si>
    <t>-219,2</t>
  </si>
  <si>
    <t>PbO₂</t>
  </si>
  <si>
    <t>PbO2</t>
  </si>
  <si>
    <t>bly(IV)oxid</t>
  </si>
  <si>
    <t>-276,65</t>
  </si>
  <si>
    <t>Pb₃O₄</t>
  </si>
  <si>
    <t>Pb3O4</t>
  </si>
  <si>
    <t>mønje</t>
  </si>
  <si>
    <t>bly(II,IV)oxid</t>
  </si>
  <si>
    <t>-718,4</t>
  </si>
  <si>
    <t>PbS</t>
  </si>
  <si>
    <t>blyglans</t>
  </si>
  <si>
    <t>bly(II)sulfid</t>
  </si>
  <si>
    <t>-100,4</t>
  </si>
  <si>
    <t>PbSO₄</t>
  </si>
  <si>
    <t>PbSO4</t>
  </si>
  <si>
    <t>bly(II)sulfat</t>
  </si>
  <si>
    <t>-923,1</t>
  </si>
  <si>
    <t>Pb(C₂H₅)₄</t>
  </si>
  <si>
    <t>Pb(C2H5)4</t>
  </si>
  <si>
    <t>PbC2H54</t>
  </si>
  <si>
    <t>tetraethylplumban</t>
  </si>
  <si>
    <t>52,7</t>
  </si>
  <si>
    <t>Pb(CH₃)₄</t>
  </si>
  <si>
    <t>Pb(CH3)4</t>
  </si>
  <si>
    <t>PbCH34</t>
  </si>
  <si>
    <t>tetramethylplumban</t>
  </si>
  <si>
    <t>98</t>
  </si>
  <si>
    <t>B</t>
  </si>
  <si>
    <t>bor</t>
  </si>
  <si>
    <t>565</t>
  </si>
  <si>
    <t>BN</t>
  </si>
  <si>
    <t>bornitrid</t>
  </si>
  <si>
    <t>-254,4</t>
  </si>
  <si>
    <t>B₂O₃</t>
  </si>
  <si>
    <t>B2O3</t>
  </si>
  <si>
    <t>dibortrioxid</t>
  </si>
  <si>
    <t>-1273,6</t>
  </si>
  <si>
    <t>H₃BO₃</t>
  </si>
  <si>
    <t>H3BO3</t>
  </si>
  <si>
    <t>borsyre</t>
  </si>
  <si>
    <t>-1094,32</t>
  </si>
  <si>
    <t>-1072,32</t>
  </si>
  <si>
    <t>H₂BO₃⁻</t>
  </si>
  <si>
    <t>H2BO3-</t>
  </si>
  <si>
    <t>dihydrogenborat</t>
  </si>
  <si>
    <t>-1053,5</t>
  </si>
  <si>
    <t>B₂(O₂)₂(OH)₄²⁻</t>
  </si>
  <si>
    <t>B2(O2)2(OH)42-</t>
  </si>
  <si>
    <t>B2O22OH42-</t>
  </si>
  <si>
    <t>perborat</t>
  </si>
  <si>
    <t>H₂B₄O₇</t>
  </si>
  <si>
    <t>H2B4O7</t>
  </si>
  <si>
    <t>tetraborsyre</t>
  </si>
  <si>
    <t>HB₄O₇⁻</t>
  </si>
  <si>
    <t>HB4O7-</t>
  </si>
  <si>
    <t>hydrogentetraborat</t>
  </si>
  <si>
    <t>BF₃</t>
  </si>
  <si>
    <t>BF3</t>
  </si>
  <si>
    <t>abortrifluorid</t>
  </si>
  <si>
    <t>-1136,0</t>
  </si>
  <si>
    <t>B₂H₆</t>
  </si>
  <si>
    <t>B2H6</t>
  </si>
  <si>
    <t>diboran</t>
  </si>
  <si>
    <t>35,6</t>
  </si>
  <si>
    <t>B₅H₉</t>
  </si>
  <si>
    <t>B5H9</t>
  </si>
  <si>
    <t>pentaboran</t>
  </si>
  <si>
    <t>42,67</t>
  </si>
  <si>
    <t>Br</t>
  </si>
  <si>
    <t>brom</t>
  </si>
  <si>
    <t>111,9</t>
  </si>
  <si>
    <t>Br₂</t>
  </si>
  <si>
    <t>Br2</t>
  </si>
  <si>
    <t>dibrom</t>
  </si>
  <si>
    <t>bromgas</t>
  </si>
  <si>
    <t>30,91</t>
  </si>
  <si>
    <t>bromvand</t>
  </si>
  <si>
    <t>-0,92</t>
  </si>
  <si>
    <t>BrO₃⁻</t>
  </si>
  <si>
    <t>BrO3-</t>
  </si>
  <si>
    <t>bromat</t>
  </si>
  <si>
    <t>-67,1</t>
  </si>
  <si>
    <t>Br⁻</t>
  </si>
  <si>
    <t>Br-</t>
  </si>
  <si>
    <t>bromid</t>
  </si>
  <si>
    <t>HBr</t>
  </si>
  <si>
    <t>hydrogenbromid</t>
  </si>
  <si>
    <t>-36,3</t>
  </si>
  <si>
    <t>hydrogenbromidsyre</t>
  </si>
  <si>
    <t>-121,55</t>
  </si>
  <si>
    <t>BrO⁻</t>
  </si>
  <si>
    <t>BrO-</t>
  </si>
  <si>
    <t>oxobromat</t>
  </si>
  <si>
    <t>ap</t>
  </si>
  <si>
    <t>-94,1</t>
  </si>
  <si>
    <t>Br₃⁻</t>
  </si>
  <si>
    <t>Br3-</t>
  </si>
  <si>
    <t>tribromid</t>
  </si>
  <si>
    <t>-131,34</t>
  </si>
  <si>
    <t>Cd</t>
  </si>
  <si>
    <t>cadmium</t>
  </si>
  <si>
    <t>Cd²⁺</t>
  </si>
  <si>
    <t>Cd2+</t>
  </si>
  <si>
    <t>cadmium(II)ion</t>
  </si>
  <si>
    <t>2623,5</t>
  </si>
  <si>
    <t>-75,92</t>
  </si>
  <si>
    <t>CdBr₂</t>
  </si>
  <si>
    <t>CdBr2</t>
  </si>
  <si>
    <t>cadmiumbromid</t>
  </si>
  <si>
    <t>-316,18</t>
  </si>
  <si>
    <t>CdBr₂∙4H₂O</t>
  </si>
  <si>
    <t>CdBr2*4H2O</t>
  </si>
  <si>
    <t>CdBr24H2O</t>
  </si>
  <si>
    <t>cadmiumbromid-vand(1/4)</t>
  </si>
  <si>
    <t>-1492,56</t>
  </si>
  <si>
    <t>CdCl₂</t>
  </si>
  <si>
    <t>CdCl2</t>
  </si>
  <si>
    <t>cadmiumchlorid</t>
  </si>
  <si>
    <t>-391,5</t>
  </si>
  <si>
    <t>CdCl₂∙2H₂O</t>
  </si>
  <si>
    <t>CdCl2*2H2O</t>
  </si>
  <si>
    <t>CdCl22H2O</t>
  </si>
  <si>
    <t>cadmiumchlorid-vand(1/2)</t>
  </si>
  <si>
    <t>-1131,9</t>
  </si>
  <si>
    <t>Cd(OH)₂</t>
  </si>
  <si>
    <t>Cd(OH)2</t>
  </si>
  <si>
    <t>CdOH2</t>
  </si>
  <si>
    <t>cadmiumhydroxid</t>
  </si>
  <si>
    <t>-560,7</t>
  </si>
  <si>
    <t>CdI₂</t>
  </si>
  <si>
    <t>CdI2</t>
  </si>
  <si>
    <t>cadmiumiodid</t>
  </si>
  <si>
    <t>-203,3</t>
  </si>
  <si>
    <t>Cd(NO₃)₂</t>
  </si>
  <si>
    <t>Cd(NO3)2</t>
  </si>
  <si>
    <t>CdNO32</t>
  </si>
  <si>
    <t>cadmiumnitrat</t>
  </si>
  <si>
    <t>-456,31</t>
  </si>
  <si>
    <t>Cd(NO₃)₂∙2H₂O</t>
  </si>
  <si>
    <t>Cd(NO3)2*2H2O</t>
  </si>
  <si>
    <t>CdNO322H2O</t>
  </si>
  <si>
    <t>cadmiumnitrat-vand(1/2)</t>
  </si>
  <si>
    <t>-1055,6</t>
  </si>
  <si>
    <t>CdO</t>
  </si>
  <si>
    <t>cadmiumoxid</t>
  </si>
  <si>
    <t>-258,235</t>
  </si>
  <si>
    <t>CdSO₄</t>
  </si>
  <si>
    <t>CdSO4</t>
  </si>
  <si>
    <t>cadmiumsulfat</t>
  </si>
  <si>
    <t>-993,3</t>
  </si>
  <si>
    <t>CdSO₄∙3/8H₂O</t>
  </si>
  <si>
    <t>CdSO4*3/8H2O</t>
  </si>
  <si>
    <t>CdSO43/8H2O</t>
  </si>
  <si>
    <t>cadmiumsulfat-vand(3/8)</t>
  </si>
  <si>
    <t>-1729,3</t>
  </si>
  <si>
    <t>CdS</t>
  </si>
  <si>
    <t>cadmiumsulfid</t>
  </si>
  <si>
    <t>-161,9</t>
  </si>
  <si>
    <t>Ca</t>
  </si>
  <si>
    <t>calcium</t>
  </si>
  <si>
    <t>Ca²⁺</t>
  </si>
  <si>
    <t>Ca2+</t>
  </si>
  <si>
    <t>calcium(II)ion</t>
  </si>
  <si>
    <t>calciumion</t>
  </si>
  <si>
    <t>1925,9</t>
  </si>
  <si>
    <t>-543,0</t>
  </si>
  <si>
    <t>(CH₃COO)₂Ca∙H₂O</t>
  </si>
  <si>
    <t>(CH3COO)2Ca*H2O</t>
  </si>
  <si>
    <t>CH3COO2CaH2O</t>
  </si>
  <si>
    <t>calciumethanoat-vand(1/1)</t>
  </si>
  <si>
    <t>-1772</t>
  </si>
  <si>
    <t>CaAl₂Si₂O₈</t>
  </si>
  <si>
    <t>CaAl2Si2O8</t>
  </si>
  <si>
    <t>anortit</t>
  </si>
  <si>
    <t>calciumaluminiumsilikat</t>
  </si>
  <si>
    <t>-4222,5</t>
  </si>
  <si>
    <t>CaBr₂</t>
  </si>
  <si>
    <t>CaBr2</t>
  </si>
  <si>
    <t>calciumbromid</t>
  </si>
  <si>
    <t>-682,8</t>
  </si>
  <si>
    <t>CaC₂</t>
  </si>
  <si>
    <t>CaC2</t>
  </si>
  <si>
    <t>calciumcarbid</t>
  </si>
  <si>
    <t>calciumdicarbid</t>
  </si>
  <si>
    <t>-59,8</t>
  </si>
  <si>
    <t>CaCO₃ (calcit)</t>
  </si>
  <si>
    <t>CaCO3 (calcit)</t>
  </si>
  <si>
    <t>CaCO3 calcit</t>
  </si>
  <si>
    <t>calcit</t>
  </si>
  <si>
    <t>-1206,92</t>
  </si>
  <si>
    <t>CaCO₃</t>
  </si>
  <si>
    <t>CaCO3</t>
  </si>
  <si>
    <t>calciumcarbonat</t>
  </si>
  <si>
    <t>kalk</t>
  </si>
  <si>
    <t>-1207,13</t>
  </si>
  <si>
    <t>CaCl₂</t>
  </si>
  <si>
    <t>CaCl2</t>
  </si>
  <si>
    <t>calciumchlorid</t>
  </si>
  <si>
    <t>-795,4</t>
  </si>
  <si>
    <t>CaCl₂∙6H₂O</t>
  </si>
  <si>
    <t>CaCl2*6H2O</t>
  </si>
  <si>
    <t>CaCl26H2O</t>
  </si>
  <si>
    <t>calciumchlorid-vand(1/6)</t>
  </si>
  <si>
    <t>-2607,9</t>
  </si>
  <si>
    <t>Ca(H₂PO₄)₂∙H₂O</t>
  </si>
  <si>
    <t>Ca(H2PO4)2*H2O</t>
  </si>
  <si>
    <t>CaH2PO42H2O</t>
  </si>
  <si>
    <t>calciumdihydrogenphosphat-vand(1/1)</t>
  </si>
  <si>
    <t>-3409,67</t>
  </si>
  <si>
    <t>CaF₂</t>
  </si>
  <si>
    <t>CaF2</t>
  </si>
  <si>
    <t>calciumdifluorid</t>
  </si>
  <si>
    <t>calciumfluorid</t>
  </si>
  <si>
    <t>-1228,8</t>
  </si>
  <si>
    <t>CaH₂</t>
  </si>
  <si>
    <t>CaH2</t>
  </si>
  <si>
    <t>calciumhydrid</t>
  </si>
  <si>
    <t>-181,5</t>
  </si>
  <si>
    <t>CaHPO₄∙2H₂O</t>
  </si>
  <si>
    <t>CaHPO4*2H2O</t>
  </si>
  <si>
    <t>CaHPO42H2O</t>
  </si>
  <si>
    <t>calciumhydrogenphosphat-vand(1/2)</t>
  </si>
  <si>
    <t>-2403,58</t>
  </si>
  <si>
    <t>Ca(OH)₂</t>
  </si>
  <si>
    <t>Ca(OH)2</t>
  </si>
  <si>
    <t>CaOH2</t>
  </si>
  <si>
    <t>læsket kalk</t>
  </si>
  <si>
    <t>calciumhydroxid</t>
  </si>
  <si>
    <t>-985,2</t>
  </si>
  <si>
    <t>Ca₅(PO₄)₃(OH)</t>
  </si>
  <si>
    <t>Ca5(PO4)3(OH)</t>
  </si>
  <si>
    <t>Ca5PO43OH</t>
  </si>
  <si>
    <t>calciumhydroxidphosphat</t>
  </si>
  <si>
    <t>-6734</t>
  </si>
  <si>
    <t>Ca(ClO)₂</t>
  </si>
  <si>
    <t>Ca(ClO)2</t>
  </si>
  <si>
    <t>CaClO2</t>
  </si>
  <si>
    <t>calciumhypochlorit</t>
  </si>
  <si>
    <t>-754,4</t>
  </si>
  <si>
    <t>CaI₂</t>
  </si>
  <si>
    <t>CaI2</t>
  </si>
  <si>
    <t>calciumiodid</t>
  </si>
  <si>
    <t>-533,5</t>
  </si>
  <si>
    <t>Ca(NO₃)₂</t>
  </si>
  <si>
    <t>Ca(NO3)2</t>
  </si>
  <si>
    <t>CaNO32</t>
  </si>
  <si>
    <t>kalksalpeter</t>
  </si>
  <si>
    <t>calciumnitrat</t>
  </si>
  <si>
    <t>-938,2</t>
  </si>
  <si>
    <t>Ca₃N₂</t>
  </si>
  <si>
    <t>Ca3N2</t>
  </si>
  <si>
    <t>calciumnitrid</t>
  </si>
  <si>
    <t>-431</t>
  </si>
  <si>
    <t>C₂O₄Ca</t>
  </si>
  <si>
    <t>C2O4Ca</t>
  </si>
  <si>
    <t>calciumoxalat</t>
  </si>
  <si>
    <t>-1360,6</t>
  </si>
  <si>
    <t>C₂O₄Ca∙H₂O</t>
  </si>
  <si>
    <t>C2O4Ca*H2O</t>
  </si>
  <si>
    <t>C2O4CaH2O</t>
  </si>
  <si>
    <t>calciumoxalat-vand(1/1)</t>
  </si>
  <si>
    <t>-1674,86</t>
  </si>
  <si>
    <t>CaO</t>
  </si>
  <si>
    <t>brændt kalk</t>
  </si>
  <si>
    <t>calciumoxid</t>
  </si>
  <si>
    <t>-634,92</t>
  </si>
  <si>
    <t>(C₁₅H₃₁COO)₂Ca</t>
  </si>
  <si>
    <t>(C15H31COO)2Ca</t>
  </si>
  <si>
    <t>C15H31COO2Ca</t>
  </si>
  <si>
    <t>calciumpalmitat</t>
  </si>
  <si>
    <t>CaO₂</t>
  </si>
  <si>
    <t>CaO2</t>
  </si>
  <si>
    <t>calciumperoxid</t>
  </si>
  <si>
    <t>-652,7</t>
  </si>
  <si>
    <t>Ca₃(PO₄)₂</t>
  </si>
  <si>
    <t>Ca3(PO4)2</t>
  </si>
  <si>
    <t>Ca3PO42</t>
  </si>
  <si>
    <t>calciumphosphat</t>
  </si>
  <si>
    <t>-4109,9</t>
  </si>
  <si>
    <t>-4120,8</t>
  </si>
  <si>
    <t>(C₁₇H₃₅COO)₂Ca</t>
  </si>
  <si>
    <t>(C17H35COO)2Ca</t>
  </si>
  <si>
    <t>C17H35COO2Ca</t>
  </si>
  <si>
    <t>calciumstearat</t>
  </si>
  <si>
    <t>CaSO₄</t>
  </si>
  <si>
    <t>CaSO4</t>
  </si>
  <si>
    <t>calciumsulfat</t>
  </si>
  <si>
    <t>-1434,5</t>
  </si>
  <si>
    <t>anhydrit</t>
  </si>
  <si>
    <t>-1425,24</t>
  </si>
  <si>
    <t>CaSO₄∙½H₂O</t>
  </si>
  <si>
    <t>CaSO4*½H2O</t>
  </si>
  <si>
    <t>CaSO4½H2O</t>
  </si>
  <si>
    <t>calciumsulfat-vand(2/1)</t>
  </si>
  <si>
    <t>-1576,74</t>
  </si>
  <si>
    <t>CaSO₄∙2H₂O</t>
  </si>
  <si>
    <t>CaSO4*2H2O</t>
  </si>
  <si>
    <t>CaSO42H2O</t>
  </si>
  <si>
    <t>gibs</t>
  </si>
  <si>
    <t>calciumsulfat-vand(1/2)</t>
  </si>
  <si>
    <t>-2022,63</t>
  </si>
  <si>
    <t>CaS</t>
  </si>
  <si>
    <t>calciumsulfid</t>
  </si>
  <si>
    <t>-482,4</t>
  </si>
  <si>
    <t>C</t>
  </si>
  <si>
    <t>kulstof</t>
  </si>
  <si>
    <t>carbon</t>
  </si>
  <si>
    <t>716,68</t>
  </si>
  <si>
    <t>C₂</t>
  </si>
  <si>
    <t>C2</t>
  </si>
  <si>
    <t>dicarbon</t>
  </si>
  <si>
    <t>grafit</t>
  </si>
  <si>
    <t>1,895</t>
  </si>
  <si>
    <t>diamant</t>
  </si>
  <si>
    <t>831,90</t>
  </si>
  <si>
    <t>C₆₀</t>
  </si>
  <si>
    <t>C60</t>
  </si>
  <si>
    <t>buckminsterfulleren</t>
  </si>
  <si>
    <t>CO₂</t>
  </si>
  <si>
    <t>CO2</t>
  </si>
  <si>
    <t>kuldioxid</t>
  </si>
  <si>
    <t>carbondioxid</t>
  </si>
  <si>
    <t>-393,51</t>
  </si>
  <si>
    <t>tøris</t>
  </si>
  <si>
    <t>-413,26</t>
  </si>
  <si>
    <t>H₂CO₃</t>
  </si>
  <si>
    <t>H2CO3</t>
  </si>
  <si>
    <t>carbonsyre</t>
  </si>
  <si>
    <t>kulsyre</t>
  </si>
  <si>
    <t>-698,7</t>
  </si>
  <si>
    <t>HCO₃⁻</t>
  </si>
  <si>
    <t>HCO3-</t>
  </si>
  <si>
    <t>hydrogencarbonat</t>
  </si>
  <si>
    <t>-692,0</t>
  </si>
  <si>
    <t>CO₃²⁻</t>
  </si>
  <si>
    <t>CO32-</t>
  </si>
  <si>
    <t>carbonat</t>
  </si>
  <si>
    <t>-675,23</t>
  </si>
  <si>
    <t>CS₂</t>
  </si>
  <si>
    <t>CS2</t>
  </si>
  <si>
    <t>carbondisulfid</t>
  </si>
  <si>
    <t>97,9</t>
  </si>
  <si>
    <t>CO</t>
  </si>
  <si>
    <t>kulilte</t>
  </si>
  <si>
    <t>carbonmonoxid</t>
  </si>
  <si>
    <t>-110,53</t>
  </si>
  <si>
    <t>COCl₂</t>
  </si>
  <si>
    <t>COCl2</t>
  </si>
  <si>
    <t>phosgen</t>
  </si>
  <si>
    <t>carbonyldichlorid</t>
  </si>
  <si>
    <t>-219,1</t>
  </si>
  <si>
    <t>COS</t>
  </si>
  <si>
    <t>carbonylsulfid</t>
  </si>
  <si>
    <t>-142,0</t>
  </si>
  <si>
    <t>HCN</t>
  </si>
  <si>
    <t>hydrogencyanid</t>
  </si>
  <si>
    <t>135,1</t>
  </si>
  <si>
    <t>blåsyre</t>
  </si>
  <si>
    <t>150,6</t>
  </si>
  <si>
    <t>CN⁻</t>
  </si>
  <si>
    <t>CN-</t>
  </si>
  <si>
    <t>cyanid</t>
  </si>
  <si>
    <t>OCN⁻</t>
  </si>
  <si>
    <t>OCN-</t>
  </si>
  <si>
    <t>cyanat</t>
  </si>
  <si>
    <t>-146,0</t>
  </si>
  <si>
    <t>(CN)₂</t>
  </si>
  <si>
    <t>(CN)2</t>
  </si>
  <si>
    <t>CN2</t>
  </si>
  <si>
    <t>dicyan</t>
  </si>
  <si>
    <t>306,7</t>
  </si>
  <si>
    <t>SCN⁻</t>
  </si>
  <si>
    <t>SCN-</t>
  </si>
  <si>
    <t>thiocyanat</t>
  </si>
  <si>
    <t>76,4</t>
  </si>
  <si>
    <t>Ce</t>
  </si>
  <si>
    <t>cerium</t>
  </si>
  <si>
    <t>Ce³⁺</t>
  </si>
  <si>
    <t>Ce3+</t>
  </si>
  <si>
    <t>cerium(III)ion</t>
  </si>
  <si>
    <t>-696,2</t>
  </si>
  <si>
    <t>Ce⁴⁺</t>
  </si>
  <si>
    <t>Ce4+</t>
  </si>
  <si>
    <t>cerium(IV)ion</t>
  </si>
  <si>
    <t>-537,2</t>
  </si>
  <si>
    <t>CeCl₃</t>
  </si>
  <si>
    <t>CeCl3</t>
  </si>
  <si>
    <t>cerium(III)chlorid</t>
  </si>
  <si>
    <t>-1060,5</t>
  </si>
  <si>
    <t>Ce(NO₃)₃∙6H₂O</t>
  </si>
  <si>
    <t>Ce(NO3)3*6H2O</t>
  </si>
  <si>
    <t>CeNO336H2O</t>
  </si>
  <si>
    <t>cerium(III)nitrat-vand(1/6)</t>
  </si>
  <si>
    <t>-3050,7</t>
  </si>
  <si>
    <t>Ce(OH)(NO₃)₃∙3H₂O</t>
  </si>
  <si>
    <t>Ce(OH)(NO3)3*3H2O</t>
  </si>
  <si>
    <t>CeOHNO333H2O</t>
  </si>
  <si>
    <t>cerium(IV)hydroxidtrinitrat-vand(1/3)</t>
  </si>
  <si>
    <t>Ce₂O₃</t>
  </si>
  <si>
    <t>Ce2O3</t>
  </si>
  <si>
    <t>cerium(III)oxid</t>
  </si>
  <si>
    <t>-1796,2</t>
  </si>
  <si>
    <t>Ce₂(SO₄)₃</t>
  </si>
  <si>
    <t>Ce2(SO4)3</t>
  </si>
  <si>
    <t>Ce2SO43</t>
  </si>
  <si>
    <t>cerium(III)sulfat</t>
  </si>
  <si>
    <t>-3954,3</t>
  </si>
  <si>
    <t>Ce(SO₄)₂</t>
  </si>
  <si>
    <t>Ce(SO4)2</t>
  </si>
  <si>
    <t>CeSO42</t>
  </si>
  <si>
    <t>cerium(IV)sulfat</t>
  </si>
  <si>
    <t>-2343</t>
  </si>
  <si>
    <t>Cl</t>
  </si>
  <si>
    <t>klor</t>
  </si>
  <si>
    <t>chlor</t>
  </si>
  <si>
    <t>121,30</t>
  </si>
  <si>
    <t>Cl₂</t>
  </si>
  <si>
    <t>Cl2</t>
  </si>
  <si>
    <t>klorgas</t>
  </si>
  <si>
    <t>dichlor</t>
  </si>
  <si>
    <t>-21,09</t>
  </si>
  <si>
    <t>Cl⁻</t>
  </si>
  <si>
    <t>Cl-</t>
  </si>
  <si>
    <t>chlorid</t>
  </si>
  <si>
    <t>-233,89</t>
  </si>
  <si>
    <t>-167,08</t>
  </si>
  <si>
    <t>ClO₂</t>
  </si>
  <si>
    <t>ClO2</t>
  </si>
  <si>
    <t>chlordioxid</t>
  </si>
  <si>
    <t>102,5</t>
  </si>
  <si>
    <t>Cl₂O</t>
  </si>
  <si>
    <t>Cl2O</t>
  </si>
  <si>
    <t>dichloroxid</t>
  </si>
  <si>
    <t>80,3</t>
  </si>
  <si>
    <t>HCl</t>
  </si>
  <si>
    <t>hydrogenchlorid</t>
  </si>
  <si>
    <t>-92,3</t>
  </si>
  <si>
    <t>saltsyre</t>
  </si>
  <si>
    <t>-167,2</t>
  </si>
  <si>
    <t>Cl₂O₇</t>
  </si>
  <si>
    <t>Cl2O7</t>
  </si>
  <si>
    <t>dichlorheptoxid</t>
  </si>
  <si>
    <t>HClO₃</t>
  </si>
  <si>
    <t>HClO3</t>
  </si>
  <si>
    <t>chlorsyre</t>
  </si>
  <si>
    <t>ClO₃⁻</t>
  </si>
  <si>
    <t>ClO3-</t>
  </si>
  <si>
    <t>chlorat</t>
  </si>
  <si>
    <t>-104,02</t>
  </si>
  <si>
    <t>HClO₂</t>
  </si>
  <si>
    <t>HClO2</t>
  </si>
  <si>
    <t>chlorsyrling</t>
  </si>
  <si>
    <t>-51,9</t>
  </si>
  <si>
    <t>ClO₂⁻</t>
  </si>
  <si>
    <t>ClO2-</t>
  </si>
  <si>
    <t>chlorit</t>
  </si>
  <si>
    <t>-66,5</t>
  </si>
  <si>
    <t>HClO</t>
  </si>
  <si>
    <t>hypochlorsyrling</t>
  </si>
  <si>
    <t>ClO⁻</t>
  </si>
  <si>
    <t>ClO-</t>
  </si>
  <si>
    <t>hypochlorit</t>
  </si>
  <si>
    <t>-107,1</t>
  </si>
  <si>
    <t>HClO₄</t>
  </si>
  <si>
    <t>HClO4</t>
  </si>
  <si>
    <t>perchlorsyre</t>
  </si>
  <si>
    <t>-40,6</t>
  </si>
  <si>
    <t>ClO₄⁻</t>
  </si>
  <si>
    <t>ClO4-</t>
  </si>
  <si>
    <t>perchlorat</t>
  </si>
  <si>
    <t>-128,10</t>
  </si>
  <si>
    <t>Cr</t>
  </si>
  <si>
    <t>chrom</t>
  </si>
  <si>
    <t>Cr²⁺</t>
  </si>
  <si>
    <t>Cr2+</t>
  </si>
  <si>
    <t>chrom(II)ion</t>
  </si>
  <si>
    <t>-143,5</t>
  </si>
  <si>
    <t>Cr³⁺</t>
  </si>
  <si>
    <t>Cr3+</t>
  </si>
  <si>
    <t>chrom(III)ion</t>
  </si>
  <si>
    <t>-251</t>
  </si>
  <si>
    <t>CrO₄²⁻</t>
  </si>
  <si>
    <t>CrO42-</t>
  </si>
  <si>
    <t>chromat</t>
  </si>
  <si>
    <t>-881,15</t>
  </si>
  <si>
    <t>HCrO₄⁻</t>
  </si>
  <si>
    <t>HCrO4-</t>
  </si>
  <si>
    <t>hydrogenchromat</t>
  </si>
  <si>
    <t>-878,2</t>
  </si>
  <si>
    <t>H₂CrO₄</t>
  </si>
  <si>
    <t>H2CrO4</t>
  </si>
  <si>
    <t>chromsyre</t>
  </si>
  <si>
    <t>-841</t>
  </si>
  <si>
    <t>Cr₂O₇²⁻</t>
  </si>
  <si>
    <t>Cr2O72-</t>
  </si>
  <si>
    <t>dichromat</t>
  </si>
  <si>
    <t>-1490,3</t>
  </si>
  <si>
    <t>CrCl₂</t>
  </si>
  <si>
    <t>CrCl2</t>
  </si>
  <si>
    <t>chrom(II)chlorid</t>
  </si>
  <si>
    <t>-395,4</t>
  </si>
  <si>
    <t>CrCl₃</t>
  </si>
  <si>
    <t>CrCl3</t>
  </si>
  <si>
    <t>chrom(III)chlorid</t>
  </si>
  <si>
    <t>-556,5</t>
  </si>
  <si>
    <t>CrCl₃∙6H₂O</t>
  </si>
  <si>
    <t>CrCl3*6H2O</t>
  </si>
  <si>
    <t>CrCl36H2O</t>
  </si>
  <si>
    <t>chrom(III)chlorid-vand(1/6)</t>
  </si>
  <si>
    <t>Cr(OH)₂</t>
  </si>
  <si>
    <t>Cr(OH)2</t>
  </si>
  <si>
    <t>CrOH2</t>
  </si>
  <si>
    <t>chrom(II)hydroxid</t>
  </si>
  <si>
    <t>-984</t>
  </si>
  <si>
    <t>CrO</t>
  </si>
  <si>
    <t>chrom(II)oxid</t>
  </si>
  <si>
    <t>222</t>
  </si>
  <si>
    <t>Cr₂O₃</t>
  </si>
  <si>
    <t>Cr2O3</t>
  </si>
  <si>
    <t>chrom(III)oxid</t>
  </si>
  <si>
    <t>-1139,7</t>
  </si>
  <si>
    <t>CrO₂</t>
  </si>
  <si>
    <t>CrO2</t>
  </si>
  <si>
    <t>chrom(IV)oxid</t>
  </si>
  <si>
    <t>-598</t>
  </si>
  <si>
    <t>CrO₃</t>
  </si>
  <si>
    <t>CrO3</t>
  </si>
  <si>
    <t>chrom(VI)oxid</t>
  </si>
  <si>
    <t>-589,5</t>
  </si>
  <si>
    <t>CrO₂Cl₂</t>
  </si>
  <si>
    <t>CrO2Cl2</t>
  </si>
  <si>
    <t>chrom(VI)dichloriddioxid</t>
  </si>
  <si>
    <t>-579,5</t>
  </si>
  <si>
    <t>CrSO₄∙7H₂O</t>
  </si>
  <si>
    <t>CrSO4*7H2O</t>
  </si>
  <si>
    <t>CrSO47H2O</t>
  </si>
  <si>
    <t>chrom(II)sulfat-vand(1/7)</t>
  </si>
  <si>
    <t>Cr₂(SO₄)₃</t>
  </si>
  <si>
    <t>Cr2(SO4)3</t>
  </si>
  <si>
    <t>Cr2SO43</t>
  </si>
  <si>
    <t>chrom(III)sulfat</t>
  </si>
  <si>
    <t>-3025,0</t>
  </si>
  <si>
    <t>Cr₂(SO₄)₃∙18H₂O</t>
  </si>
  <si>
    <t>Cr2(SO4)3*18H2O</t>
  </si>
  <si>
    <t>Cr2SO4318H2O</t>
  </si>
  <si>
    <t>chrom(III)sulfat-vand(1/18)</t>
  </si>
  <si>
    <t>-8339,5</t>
  </si>
  <si>
    <t>Cr(CO)₆</t>
  </si>
  <si>
    <t>Cr(CO)6</t>
  </si>
  <si>
    <t>CrCO6</t>
  </si>
  <si>
    <t>hexacarbonylchrom</t>
  </si>
  <si>
    <t>-1076,9</t>
  </si>
  <si>
    <t>Co</t>
  </si>
  <si>
    <t>cobalt</t>
  </si>
  <si>
    <t>Co²⁺</t>
  </si>
  <si>
    <t>Co2+</t>
  </si>
  <si>
    <t>cobalt(II)ion</t>
  </si>
  <si>
    <t>-58,2</t>
  </si>
  <si>
    <t>Co³⁺</t>
  </si>
  <si>
    <t>Co3+</t>
  </si>
  <si>
    <t>cobalt(III)ion</t>
  </si>
  <si>
    <t>92,0</t>
  </si>
  <si>
    <t>CoCO₃</t>
  </si>
  <si>
    <t>CoCO3</t>
  </si>
  <si>
    <t>cobalt(II)carbonat</t>
  </si>
  <si>
    <t>-713</t>
  </si>
  <si>
    <t>CoCl₂</t>
  </si>
  <si>
    <t>CoCl2</t>
  </si>
  <si>
    <t>cobalt(II)chlorid</t>
  </si>
  <si>
    <t>-312,5</t>
  </si>
  <si>
    <t>CoCl₂∙2H₂O</t>
  </si>
  <si>
    <t>CoCl2*2H2O</t>
  </si>
  <si>
    <t>CoCl22H2O</t>
  </si>
  <si>
    <t>cobalt(II)chlorid-vand(1/2)</t>
  </si>
  <si>
    <t>-923,0</t>
  </si>
  <si>
    <t>CoCl₂∙6H₂O</t>
  </si>
  <si>
    <t>CoCl2*6H2O</t>
  </si>
  <si>
    <t>CoCl26H2O</t>
  </si>
  <si>
    <t>cobalt(II)chlorid-vand(1/6)</t>
  </si>
  <si>
    <t>-2115,4</t>
  </si>
  <si>
    <t>CoCl₃</t>
  </si>
  <si>
    <t>CoCl3</t>
  </si>
  <si>
    <t>cobalt(III)chlorid</t>
  </si>
  <si>
    <t>Co(OH)₂</t>
  </si>
  <si>
    <t>Co(OH)2</t>
  </si>
  <si>
    <t>CoOH2</t>
  </si>
  <si>
    <t>cobalt(II)hydroxid</t>
  </si>
  <si>
    <t>-539,7</t>
  </si>
  <si>
    <t>Co(NO₃)₂∙6H₂O</t>
  </si>
  <si>
    <t>Co(NO3)2*6H2O</t>
  </si>
  <si>
    <t>CoNO326H2O</t>
  </si>
  <si>
    <t>cobalt(II)nitrat-vand(1/6)</t>
  </si>
  <si>
    <t>-2211,2</t>
  </si>
  <si>
    <t>CoO</t>
  </si>
  <si>
    <t>cobalt(II)oxid</t>
  </si>
  <si>
    <t>-237,9</t>
  </si>
  <si>
    <t>Co₂O₃</t>
  </si>
  <si>
    <t>Co2O3</t>
  </si>
  <si>
    <t>cobalt(III)oxid</t>
  </si>
  <si>
    <t>Co₃O₄</t>
  </si>
  <si>
    <t>Co3O4</t>
  </si>
  <si>
    <t>cobalt(II,III)oxid</t>
  </si>
  <si>
    <t>-891,0</t>
  </si>
  <si>
    <t>CoSO₄</t>
  </si>
  <si>
    <t>CoSO4</t>
  </si>
  <si>
    <t>cobalt(II)sulfat</t>
  </si>
  <si>
    <t>-888</t>
  </si>
  <si>
    <t>CoSO₄∙7H₂O</t>
  </si>
  <si>
    <t>CoSO4*7H2O</t>
  </si>
  <si>
    <t>CoSO47H2O</t>
  </si>
  <si>
    <t>cobalt(II)sulfat-vand(1/7)</t>
  </si>
  <si>
    <t>-2473,8</t>
  </si>
  <si>
    <t>Cs</t>
  </si>
  <si>
    <t>cæsium</t>
  </si>
  <si>
    <t>Cs⁺</t>
  </si>
  <si>
    <t>Cs+</t>
  </si>
  <si>
    <t>cæsium(I)ion</t>
  </si>
  <si>
    <t>cæsiumion</t>
  </si>
  <si>
    <t>452,3</t>
  </si>
  <si>
    <t>-228,0</t>
  </si>
  <si>
    <t>CsBr</t>
  </si>
  <si>
    <t>cæsiumbromid</t>
  </si>
  <si>
    <t>-405,8</t>
  </si>
  <si>
    <t>CsCl</t>
  </si>
  <si>
    <t>cæsiumchlorid</t>
  </si>
  <si>
    <t>-443,0</t>
  </si>
  <si>
    <t>CsF</t>
  </si>
  <si>
    <t>cæsiumfluorid</t>
  </si>
  <si>
    <t>-553,5</t>
  </si>
  <si>
    <t>CsH</t>
  </si>
  <si>
    <t>cæsiumhydrid</t>
  </si>
  <si>
    <t>-54,2</t>
  </si>
  <si>
    <t>CsOH</t>
  </si>
  <si>
    <t>cæsiumhydroxid</t>
  </si>
  <si>
    <t>-416,2</t>
  </si>
  <si>
    <t>CsI</t>
  </si>
  <si>
    <t>cæsiumiodid</t>
  </si>
  <si>
    <t>-346,6</t>
  </si>
  <si>
    <t>Cs₂O</t>
  </si>
  <si>
    <t>Cs2O</t>
  </si>
  <si>
    <t>cæsiumoxid</t>
  </si>
  <si>
    <t>-345,8</t>
  </si>
  <si>
    <t>F</t>
  </si>
  <si>
    <t>fluor</t>
  </si>
  <si>
    <t>79,38</t>
  </si>
  <si>
    <t>F₂</t>
  </si>
  <si>
    <t>F2</t>
  </si>
  <si>
    <t>difluor</t>
  </si>
  <si>
    <t>F⁻</t>
  </si>
  <si>
    <t>F-</t>
  </si>
  <si>
    <t>fluorid</t>
  </si>
  <si>
    <t>-270,70</t>
  </si>
  <si>
    <t>-335,35</t>
  </si>
  <si>
    <t>F₂O</t>
  </si>
  <si>
    <t>F2O</t>
  </si>
  <si>
    <t>difluoroxid</t>
  </si>
  <si>
    <t>-24,5</t>
  </si>
  <si>
    <t>HF</t>
  </si>
  <si>
    <t>hydrogenfluorid</t>
  </si>
  <si>
    <t>-273,3</t>
  </si>
  <si>
    <t>flussyre</t>
  </si>
  <si>
    <t>-332,6</t>
  </si>
  <si>
    <t>HF₂⁻</t>
  </si>
  <si>
    <t>HF2-</t>
  </si>
  <si>
    <t>hydrogendifluorid</t>
  </si>
  <si>
    <t>-649,9</t>
  </si>
  <si>
    <t>Ge</t>
  </si>
  <si>
    <t>germanium</t>
  </si>
  <si>
    <t>GeH₄</t>
  </si>
  <si>
    <t>GeH4</t>
  </si>
  <si>
    <t>germaniumhydrid</t>
  </si>
  <si>
    <t>90,8</t>
  </si>
  <si>
    <t>Ge₂H₆</t>
  </si>
  <si>
    <t>Ge2H6</t>
  </si>
  <si>
    <t>digerman</t>
  </si>
  <si>
    <t>162</t>
  </si>
  <si>
    <t>209.</t>
  </si>
  <si>
    <t>GeO₂</t>
  </si>
  <si>
    <t>GeO2</t>
  </si>
  <si>
    <t>germaniumoxid</t>
  </si>
  <si>
    <t>-580,0</t>
  </si>
  <si>
    <t>Au</t>
  </si>
  <si>
    <t>guld</t>
  </si>
  <si>
    <t>AuCl</t>
  </si>
  <si>
    <t>guldchlorid</t>
  </si>
  <si>
    <t>guld(I)chlorid</t>
  </si>
  <si>
    <t>-34,7</t>
  </si>
  <si>
    <t>AuCl₃</t>
  </si>
  <si>
    <t>AuCl3</t>
  </si>
  <si>
    <t>guldtrichlorid</t>
  </si>
  <si>
    <t>guld(III)chlorid</t>
  </si>
  <si>
    <t>-117,6</t>
  </si>
  <si>
    <t>AuCl₄⁻</t>
  </si>
  <si>
    <t>AuCl4-</t>
  </si>
  <si>
    <t>tetrachloridoaurat</t>
  </si>
  <si>
    <t>-322</t>
  </si>
  <si>
    <t>He</t>
  </si>
  <si>
    <t>helium</t>
  </si>
  <si>
    <t>H</t>
  </si>
  <si>
    <t>hydrogen</t>
  </si>
  <si>
    <t>217,97</t>
  </si>
  <si>
    <t>H₂</t>
  </si>
  <si>
    <t>H2</t>
  </si>
  <si>
    <t>brint</t>
  </si>
  <si>
    <t>dihydrogen</t>
  </si>
  <si>
    <t>H⁺</t>
  </si>
  <si>
    <t>H+</t>
  </si>
  <si>
    <t>hydron</t>
  </si>
  <si>
    <t>1537</t>
  </si>
  <si>
    <t>H⁻</t>
  </si>
  <si>
    <t>H-</t>
  </si>
  <si>
    <t>hydrid</t>
  </si>
  <si>
    <t>139</t>
  </si>
  <si>
    <t>D₂O</t>
  </si>
  <si>
    <t>D2O</t>
  </si>
  <si>
    <t>tungt vand</t>
  </si>
  <si>
    <t>deuterium</t>
  </si>
  <si>
    <t>H₃O⁺</t>
  </si>
  <si>
    <t>H3O+</t>
  </si>
  <si>
    <t>oxonium</t>
  </si>
  <si>
    <t>-285,83</t>
  </si>
  <si>
    <t>I</t>
  </si>
  <si>
    <t>iod</t>
  </si>
  <si>
    <t>106,76</t>
  </si>
  <si>
    <t>I₂</t>
  </si>
  <si>
    <t>I2</t>
  </si>
  <si>
    <t>diiod</t>
  </si>
  <si>
    <t>62,42</t>
  </si>
  <si>
    <t>20,92</t>
  </si>
  <si>
    <t>I⁻</t>
  </si>
  <si>
    <t>I-</t>
  </si>
  <si>
    <t>iodid</t>
  </si>
  <si>
    <t>-196,6</t>
  </si>
  <si>
    <t>HI</t>
  </si>
  <si>
    <t>hydrogeniodid</t>
  </si>
  <si>
    <t>25,94</t>
  </si>
  <si>
    <t>3,05</t>
  </si>
  <si>
    <t>-56,78</t>
  </si>
  <si>
    <t>I₃⁻</t>
  </si>
  <si>
    <t>I3-</t>
  </si>
  <si>
    <t>triiodid</t>
  </si>
  <si>
    <t>-51,88</t>
  </si>
  <si>
    <t>HIO₃</t>
  </si>
  <si>
    <t>HIO3</t>
  </si>
  <si>
    <t>hydrogeniodat</t>
  </si>
  <si>
    <t>iodsyre</t>
  </si>
  <si>
    <t>-230,1</t>
  </si>
  <si>
    <t>IO₃⁻</t>
  </si>
  <si>
    <t>IO3-</t>
  </si>
  <si>
    <t>iodat</t>
  </si>
  <si>
    <t>-221,3</t>
  </si>
  <si>
    <t>IN₃</t>
  </si>
  <si>
    <t>IN3</t>
  </si>
  <si>
    <t>iodazid</t>
  </si>
  <si>
    <t>264</t>
  </si>
  <si>
    <t>IBr</t>
  </si>
  <si>
    <t>iodbromid</t>
  </si>
  <si>
    <t>40,61</t>
  </si>
  <si>
    <t>ICl</t>
  </si>
  <si>
    <t>iodchlorid</t>
  </si>
  <si>
    <t>-33,60</t>
  </si>
  <si>
    <t>ICl₃</t>
  </si>
  <si>
    <t>ICl3</t>
  </si>
  <si>
    <t>iodtrichlorid</t>
  </si>
  <si>
    <t>-89,29</t>
  </si>
  <si>
    <t>I₂O₅</t>
  </si>
  <si>
    <t>I2O5</t>
  </si>
  <si>
    <t>diiodpentoxid</t>
  </si>
  <si>
    <t>-158,1</t>
  </si>
  <si>
    <t>Fe</t>
  </si>
  <si>
    <t>jern</t>
  </si>
  <si>
    <t>Fe²⁺</t>
  </si>
  <si>
    <t>Fe2+</t>
  </si>
  <si>
    <t>jern(II)ion</t>
  </si>
  <si>
    <t>-89,1</t>
  </si>
  <si>
    <t>Fe³⁺</t>
  </si>
  <si>
    <t>Fe3+</t>
  </si>
  <si>
    <t>jern(III)ion</t>
  </si>
  <si>
    <t>-48,5</t>
  </si>
  <si>
    <t>Fe₃C</t>
  </si>
  <si>
    <t>Fe3C</t>
  </si>
  <si>
    <t>jerncarbid</t>
  </si>
  <si>
    <t>25,1</t>
  </si>
  <si>
    <t>FeCO₃</t>
  </si>
  <si>
    <t>FeCO3</t>
  </si>
  <si>
    <t>siderit</t>
  </si>
  <si>
    <t>jern(II)carbonat</t>
  </si>
  <si>
    <t>-740,57</t>
  </si>
  <si>
    <t>FeCl₂</t>
  </si>
  <si>
    <t>FeCl2</t>
  </si>
  <si>
    <t>jerndichlorid</t>
  </si>
  <si>
    <t>jern(II)chlorid</t>
  </si>
  <si>
    <t>-341,8</t>
  </si>
  <si>
    <t>FeCl₂∙2H₂O</t>
  </si>
  <si>
    <t>FeCl2*2H2O</t>
  </si>
  <si>
    <t>FeCl22H2O</t>
  </si>
  <si>
    <t>jern(II)chlorid-vand(1/2)</t>
  </si>
  <si>
    <t>-953,1</t>
  </si>
  <si>
    <t>FeCl₂∙4H₂O</t>
  </si>
  <si>
    <t>FeCl2*4H2O</t>
  </si>
  <si>
    <t>FeCl24H2O</t>
  </si>
  <si>
    <t>jern(II)chlorid-vand(1/4)</t>
  </si>
  <si>
    <t>-1549,3</t>
  </si>
  <si>
    <t>FeCl₃</t>
  </si>
  <si>
    <t>FeCl3</t>
  </si>
  <si>
    <t>jerntrichlorid</t>
  </si>
  <si>
    <t>jern(III)chlorid</t>
  </si>
  <si>
    <t>-399,5</t>
  </si>
  <si>
    <t>FeCl₃∙6H₂O</t>
  </si>
  <si>
    <t>FeCl3*6H2O</t>
  </si>
  <si>
    <t>FeCl36H2O</t>
  </si>
  <si>
    <t>jern(III)chlorid-vand(1/6)</t>
  </si>
  <si>
    <t>-2223,8</t>
  </si>
  <si>
    <t>FeS₂</t>
  </si>
  <si>
    <t>FeS2</t>
  </si>
  <si>
    <t>jern(II)disulfid</t>
  </si>
  <si>
    <t>-178,2</t>
  </si>
  <si>
    <t>FeO(OH)/Fe(OH)₃∙xH₂O</t>
  </si>
  <si>
    <t>FeO(OH)/Fe(OH)3*xH2O</t>
  </si>
  <si>
    <t>FeOOH/FeOH3xH2O</t>
  </si>
  <si>
    <t>rust</t>
  </si>
  <si>
    <t>-559,0</t>
  </si>
  <si>
    <t>Fe(NO₃)₃∙9H₂O</t>
  </si>
  <si>
    <t>Fe(NO3)3*9H2O</t>
  </si>
  <si>
    <t>FeNO339H2O</t>
  </si>
  <si>
    <t>jern(III)nitrat-vand(1/9)</t>
  </si>
  <si>
    <t>-3285,3</t>
  </si>
  <si>
    <t>FeO</t>
  </si>
  <si>
    <t>jern(II)oxid</t>
  </si>
  <si>
    <t>-271,9</t>
  </si>
  <si>
    <t>Fe₀.₉₄₇O</t>
  </si>
  <si>
    <t>Fe0.947O</t>
  </si>
  <si>
    <t>wustit</t>
  </si>
  <si>
    <t>-266,27</t>
  </si>
  <si>
    <t>Fe₂O₃</t>
  </si>
  <si>
    <t>Fe2O3</t>
  </si>
  <si>
    <t>ferrioxid</t>
  </si>
  <si>
    <t>jern(III)oxid</t>
  </si>
  <si>
    <t>-824,2</t>
  </si>
  <si>
    <t>Fe₃O₄</t>
  </si>
  <si>
    <t>Fe3O4</t>
  </si>
  <si>
    <t>jern(II,III)oxid</t>
  </si>
  <si>
    <t>-1118,4</t>
  </si>
  <si>
    <t>FePO₄∙2H₂O</t>
  </si>
  <si>
    <t>FePO4*2H2O</t>
  </si>
  <si>
    <t>FePO42H2O</t>
  </si>
  <si>
    <t>jern(III)phosphat-vand(1/2)</t>
  </si>
  <si>
    <t>-1888,2</t>
  </si>
  <si>
    <t>FeS</t>
  </si>
  <si>
    <t>jern(II)sulfid</t>
  </si>
  <si>
    <t>-100,0</t>
  </si>
  <si>
    <t>Fe₂S₃</t>
  </si>
  <si>
    <t>Fe2S3</t>
  </si>
  <si>
    <t>jern(III)sulfid</t>
  </si>
  <si>
    <t>FeSO₄∙7H₂O</t>
  </si>
  <si>
    <t>FeSO4*7H2O</t>
  </si>
  <si>
    <t>FeSO47H2O</t>
  </si>
  <si>
    <t>jernvitriol</t>
  </si>
  <si>
    <t>jern(II)sulfat-vand(1/7)</t>
  </si>
  <si>
    <t>-3014,57</t>
  </si>
  <si>
    <t>Fe₂(SO₄)₃</t>
  </si>
  <si>
    <t>Fe2(SO4)3</t>
  </si>
  <si>
    <t>Fe2SO43</t>
  </si>
  <si>
    <t>jern(III)sulfat</t>
  </si>
  <si>
    <t>-2581,5</t>
  </si>
  <si>
    <t>Fe(CO)₅</t>
  </si>
  <si>
    <t>Fe(CO)5</t>
  </si>
  <si>
    <t>FeCO5</t>
  </si>
  <si>
    <t>pentacarbonyljern</t>
  </si>
  <si>
    <t>-774,0</t>
  </si>
  <si>
    <t>Fe(C₅H₅)₂</t>
  </si>
  <si>
    <t>Fe(C5H5)2</t>
  </si>
  <si>
    <t>FeC5H52</t>
  </si>
  <si>
    <t>ferrocen</t>
  </si>
  <si>
    <t>kalium</t>
  </si>
  <si>
    <t>K⁺</t>
  </si>
  <si>
    <t>K+</t>
  </si>
  <si>
    <t>kalium(I)ion</t>
  </si>
  <si>
    <t>kaliumion</t>
  </si>
  <si>
    <t>514,3</t>
  </si>
  <si>
    <t>-252,14</t>
  </si>
  <si>
    <t>KAl(SO₄)₂∙12H₂O</t>
  </si>
  <si>
    <t>KAl(SO4)2*12H2O</t>
  </si>
  <si>
    <t>KAlSO4212H2O</t>
  </si>
  <si>
    <t>alum</t>
  </si>
  <si>
    <t>kaliumaluminiumsulfat-vand(1/12)</t>
  </si>
  <si>
    <t>-6057,3</t>
  </si>
  <si>
    <t>KSb(OH)₆∙½H₂O</t>
  </si>
  <si>
    <t>KSb(OH)6*½H2O</t>
  </si>
  <si>
    <t>KSbOH6½H2O</t>
  </si>
  <si>
    <t>kaliumantimonat-vand(2/1)</t>
  </si>
  <si>
    <t>KBrO₃</t>
  </si>
  <si>
    <t>KBrO3</t>
  </si>
  <si>
    <t>kaliumbromat</t>
  </si>
  <si>
    <t>-360,2</t>
  </si>
  <si>
    <t>KBr</t>
  </si>
  <si>
    <t>kaliumbromid</t>
  </si>
  <si>
    <t>-393,8</t>
  </si>
  <si>
    <t>K₂CO₃</t>
  </si>
  <si>
    <t>K2CO3</t>
  </si>
  <si>
    <t>potaske</t>
  </si>
  <si>
    <t>kaliumcarbonat</t>
  </si>
  <si>
    <t>-1150,2</t>
  </si>
  <si>
    <t>K₂CO₃∙2H₂O</t>
  </si>
  <si>
    <t>K2CO3*2H2O</t>
  </si>
  <si>
    <t>K2CO32H2O</t>
  </si>
  <si>
    <t>kaliumcarbonat-vand(1/2)</t>
  </si>
  <si>
    <t>KClO₃</t>
  </si>
  <si>
    <t>KClO3</t>
  </si>
  <si>
    <t>kaliumchlorat</t>
  </si>
  <si>
    <t>-397,7</t>
  </si>
  <si>
    <t>KCl</t>
  </si>
  <si>
    <t>kaliumchlorid</t>
  </si>
  <si>
    <t>-436,5</t>
  </si>
  <si>
    <t>K₂CrO₄</t>
  </si>
  <si>
    <t>K2CrO4</t>
  </si>
  <si>
    <t>kaliumchromat</t>
  </si>
  <si>
    <t>-1403,7</t>
  </si>
  <si>
    <t>KCr(SO₄)₂∙12H₂O</t>
  </si>
  <si>
    <t>KCr(SO4)2*12H2O</t>
  </si>
  <si>
    <t>KCrSO4212H2O</t>
  </si>
  <si>
    <t>kaliumchrom(III)sulfat-vand(1/12)</t>
  </si>
  <si>
    <t>-5786,9</t>
  </si>
  <si>
    <t>K₃Co(NO₂)₆∙3/2H₂O</t>
  </si>
  <si>
    <t>K3Co(NO2)6*3/2H2O</t>
  </si>
  <si>
    <t>K3CoNO263/2H2O</t>
  </si>
  <si>
    <t>kaliumhexanitritocobaltat-vand(2/3)</t>
  </si>
  <si>
    <t>KCN</t>
  </si>
  <si>
    <t>kaliumcyanid</t>
  </si>
  <si>
    <t>-113,5</t>
  </si>
  <si>
    <t>KOCN</t>
  </si>
  <si>
    <t>kaliumcyanat</t>
  </si>
  <si>
    <t>-412,1</t>
  </si>
  <si>
    <t>K₂Cr₂O₇</t>
  </si>
  <si>
    <t>K2Cr2O7</t>
  </si>
  <si>
    <t>kaliumdichromat</t>
  </si>
  <si>
    <t>-2062,3</t>
  </si>
  <si>
    <t>KH₂PO₄</t>
  </si>
  <si>
    <t>KH2PO4</t>
  </si>
  <si>
    <t>kaliumdihydrogenphosphat</t>
  </si>
  <si>
    <t>-1568,6</t>
  </si>
  <si>
    <t>KF</t>
  </si>
  <si>
    <t>kaliumfluorid</t>
  </si>
  <si>
    <t>-567,3</t>
  </si>
  <si>
    <t>K₄Fe(CN)₆∙3H₂O</t>
  </si>
  <si>
    <t>K4Fe(CN)6*3H2O</t>
  </si>
  <si>
    <t>K4FeCN63H2O</t>
  </si>
  <si>
    <t>gul blodludsalt</t>
  </si>
  <si>
    <t>kaliumhexacyanoferrat(II)-vand(1/3)</t>
  </si>
  <si>
    <t>-1466,5</t>
  </si>
  <si>
    <t>K₃Fe(CN)₆</t>
  </si>
  <si>
    <t>K3Fe(CN)6</t>
  </si>
  <si>
    <t>K3FeCN6</t>
  </si>
  <si>
    <t>rød blodludsalt</t>
  </si>
  <si>
    <t>kaliumhexacyanoferrat(III)</t>
  </si>
  <si>
    <t>-173</t>
  </si>
  <si>
    <t>KH</t>
  </si>
  <si>
    <t>kaliumhydrid</t>
  </si>
  <si>
    <t>57,7</t>
  </si>
  <si>
    <t>KHCO₃</t>
  </si>
  <si>
    <t>KHCO3</t>
  </si>
  <si>
    <t>kaliumhydrogencarbonat</t>
  </si>
  <si>
    <t>-959,4</t>
  </si>
  <si>
    <t>KHF₂</t>
  </si>
  <si>
    <t>KHF2</t>
  </si>
  <si>
    <t>kaliumhydrogendifluorid</t>
  </si>
  <si>
    <t>-927,7</t>
  </si>
  <si>
    <t>HOOC-C₆H₄-COOK</t>
  </si>
  <si>
    <t>HOOC-C6H4-COOK</t>
  </si>
  <si>
    <t>kaliumhydrogenphtalat</t>
  </si>
  <si>
    <t>KOH</t>
  </si>
  <si>
    <t>kaliumhydroxid</t>
  </si>
  <si>
    <t>-425,9</t>
  </si>
  <si>
    <t>KIO₃</t>
  </si>
  <si>
    <t>KIO3</t>
  </si>
  <si>
    <t>kaliumiodat</t>
  </si>
  <si>
    <t>-508,4</t>
  </si>
  <si>
    <t>KI</t>
  </si>
  <si>
    <t>kaliumiodid</t>
  </si>
  <si>
    <t>-327,9</t>
  </si>
  <si>
    <t>K₂MnO₄</t>
  </si>
  <si>
    <t>K2MnO4</t>
  </si>
  <si>
    <t>kaliummanganat</t>
  </si>
  <si>
    <t>KNaC₄H₄O₆∙4H₂O</t>
  </si>
  <si>
    <t>KNaC4H4O6*4H2O</t>
  </si>
  <si>
    <t>KNaC4H4O64H2O</t>
  </si>
  <si>
    <t>kaliumnatriumtartrat-vand(1/4)</t>
  </si>
  <si>
    <t>KNO₃</t>
  </si>
  <si>
    <t>KNO3</t>
  </si>
  <si>
    <t>salpeter</t>
  </si>
  <si>
    <t>kaliumnitrat</t>
  </si>
  <si>
    <t>-494,6</t>
  </si>
  <si>
    <t>KNO₂</t>
  </si>
  <si>
    <t>KNO2</t>
  </si>
  <si>
    <t>kaliumnitrit</t>
  </si>
  <si>
    <t>-369,8</t>
  </si>
  <si>
    <t>K₂O</t>
  </si>
  <si>
    <t>K2O</t>
  </si>
  <si>
    <t>kaliumoxid</t>
  </si>
  <si>
    <t>-361,5</t>
  </si>
  <si>
    <t>KClO₄</t>
  </si>
  <si>
    <t>KClO4</t>
  </si>
  <si>
    <t>kaliumperchlorat</t>
  </si>
  <si>
    <t>-432,8</t>
  </si>
  <si>
    <t>KIO₄</t>
  </si>
  <si>
    <t>KIO4</t>
  </si>
  <si>
    <t>kaliumperiodat</t>
  </si>
  <si>
    <t>-467,2</t>
  </si>
  <si>
    <t>KMnO₄</t>
  </si>
  <si>
    <t>KMnO4</t>
  </si>
  <si>
    <t>kaliumpermanganat</t>
  </si>
  <si>
    <t>-837,2</t>
  </si>
  <si>
    <t>K₂O₂</t>
  </si>
  <si>
    <t>K2O2</t>
  </si>
  <si>
    <t>kaliumperoxid</t>
  </si>
  <si>
    <t>-495,8</t>
  </si>
  <si>
    <t>K₂O₃SOOSO₃</t>
  </si>
  <si>
    <t>K2O3SOOSO3</t>
  </si>
  <si>
    <t>kaliumperoxodisulfat</t>
  </si>
  <si>
    <t>-1918</t>
  </si>
  <si>
    <t>K₂S₂O₇</t>
  </si>
  <si>
    <t>K2S2O7</t>
  </si>
  <si>
    <t>kaliumdisulfat</t>
  </si>
  <si>
    <t>-1986,6</t>
  </si>
  <si>
    <t>KO₂</t>
  </si>
  <si>
    <t>KO2</t>
  </si>
  <si>
    <t>kaliumdioxid</t>
  </si>
  <si>
    <t>-284,9</t>
  </si>
  <si>
    <t>K₂SO₄</t>
  </si>
  <si>
    <t>K2SO4</t>
  </si>
  <si>
    <t>kaliumsulfat</t>
  </si>
  <si>
    <t>-1437,8</t>
  </si>
  <si>
    <t>K₂S</t>
  </si>
  <si>
    <t>K2S</t>
  </si>
  <si>
    <t>kaliumsulfid</t>
  </si>
  <si>
    <t>-418</t>
  </si>
  <si>
    <t>KSCN</t>
  </si>
  <si>
    <t>kaliumthiocyanat</t>
  </si>
  <si>
    <t>-200,2</t>
  </si>
  <si>
    <t>Cu</t>
  </si>
  <si>
    <t>kobber</t>
  </si>
  <si>
    <t>Cu⁺</t>
  </si>
  <si>
    <t>Cu+</t>
  </si>
  <si>
    <t>kobber(I)ion</t>
  </si>
  <si>
    <t>72,1</t>
  </si>
  <si>
    <t>Cu²⁺</t>
  </si>
  <si>
    <t>Cu2+</t>
  </si>
  <si>
    <t>kobber(II)ion</t>
  </si>
  <si>
    <t>64,9</t>
  </si>
  <si>
    <t>(CH₃COO)₂Cu∙H₂O</t>
  </si>
  <si>
    <t>(CH3COO)2Cu*H2O</t>
  </si>
  <si>
    <t>CH3COO2CuH2O</t>
  </si>
  <si>
    <t>kobber(II)ethanoat-vand(1/1)</t>
  </si>
  <si>
    <t>-1189</t>
  </si>
  <si>
    <t>Cu₂(OH)₂CO₃</t>
  </si>
  <si>
    <t>Cu2(OH)2CO3</t>
  </si>
  <si>
    <t>Cu2OH2CO3</t>
  </si>
  <si>
    <t>malakit</t>
  </si>
  <si>
    <t>kobber(II)dihydroxidcarbonat</t>
  </si>
  <si>
    <t>-1055</t>
  </si>
  <si>
    <t>Cu₃(OH)₂(CO₃)₂</t>
  </si>
  <si>
    <t>Cu3(OH)2(CO3)2</t>
  </si>
  <si>
    <t>Cu3OH2CO32</t>
  </si>
  <si>
    <t>azurit</t>
  </si>
  <si>
    <t>kobber(II)dihydroxiddicarbonat</t>
  </si>
  <si>
    <t>-1630</t>
  </si>
  <si>
    <t>CuCl</t>
  </si>
  <si>
    <t>kobber(I)chlorid</t>
  </si>
  <si>
    <t>-137,0</t>
  </si>
  <si>
    <t>CuCl₂</t>
  </si>
  <si>
    <t>CuCl2</t>
  </si>
  <si>
    <t>kobberdichlorid</t>
  </si>
  <si>
    <t>kobber(II)chlorid</t>
  </si>
  <si>
    <t>-218,3</t>
  </si>
  <si>
    <t>CuCl₂∙2H₂O</t>
  </si>
  <si>
    <t>CuCl2*2H2O</t>
  </si>
  <si>
    <t>CuCl22H2O</t>
  </si>
  <si>
    <t>kobber(II)chlorid-vand(1/2)</t>
  </si>
  <si>
    <t>-818,3</t>
  </si>
  <si>
    <t>Cu(OH)₂</t>
  </si>
  <si>
    <t>Cu(OH)2</t>
  </si>
  <si>
    <t>CuOH2</t>
  </si>
  <si>
    <t>kobber(II)hydroxid</t>
  </si>
  <si>
    <t>-449,8</t>
  </si>
  <si>
    <t>CuI</t>
  </si>
  <si>
    <t>kobber(I)iodid</t>
  </si>
  <si>
    <t>-67,8</t>
  </si>
  <si>
    <t>Cu(NO₃)₂∙3H₂O</t>
  </si>
  <si>
    <t>Cu(NO3)2*3H2O</t>
  </si>
  <si>
    <t>CuNO323H2O</t>
  </si>
  <si>
    <t>kobber(II)nitrat-vand(1/3)</t>
  </si>
  <si>
    <t>-1217,1</t>
  </si>
  <si>
    <t>Cu₂O</t>
  </si>
  <si>
    <t>Cu2O</t>
  </si>
  <si>
    <t>kobber(I)oxid</t>
  </si>
  <si>
    <t>-168,6</t>
  </si>
  <si>
    <t>CuO</t>
  </si>
  <si>
    <t>kobber(II)oxid</t>
  </si>
  <si>
    <t>-157,3</t>
  </si>
  <si>
    <t>Cu₂SO₄</t>
  </si>
  <si>
    <t>Cu2SO4</t>
  </si>
  <si>
    <t>kobber(I)sulfat</t>
  </si>
  <si>
    <t>-748</t>
  </si>
  <si>
    <t>CuSO₄</t>
  </si>
  <si>
    <t>CuSO4</t>
  </si>
  <si>
    <t>kobber(II)sulfat</t>
  </si>
  <si>
    <t>-771,4</t>
  </si>
  <si>
    <t>CuSO₄∙5H₂O</t>
  </si>
  <si>
    <t>CuSO4*5H2O</t>
  </si>
  <si>
    <t>CuSO45H2O</t>
  </si>
  <si>
    <t>blåsten</t>
  </si>
  <si>
    <t>kobber(II)sulfat-vand(1/5)</t>
  </si>
  <si>
    <t>-2279,7</t>
  </si>
  <si>
    <t>Cu₂S</t>
  </si>
  <si>
    <t>Cu2S</t>
  </si>
  <si>
    <t>dikobbersulfid</t>
  </si>
  <si>
    <t>kobber(I)sulfid</t>
  </si>
  <si>
    <t>-79,5</t>
  </si>
  <si>
    <t>CuS</t>
  </si>
  <si>
    <t>kobber(II)sulfid</t>
  </si>
  <si>
    <t>-53,1</t>
  </si>
  <si>
    <t>Kr</t>
  </si>
  <si>
    <t>krypton</t>
  </si>
  <si>
    <t>KrF₂</t>
  </si>
  <si>
    <t>KrF2</t>
  </si>
  <si>
    <t>kryptondifluorid</t>
  </si>
  <si>
    <t>58,6</t>
  </si>
  <si>
    <t>Hg</t>
  </si>
  <si>
    <t>kviksølv</t>
  </si>
  <si>
    <t>61,32</t>
  </si>
  <si>
    <t>13,93</t>
  </si>
  <si>
    <t>Hg₂²⁺</t>
  </si>
  <si>
    <t>Hg22+</t>
  </si>
  <si>
    <t>kviksølv(I)ion</t>
  </si>
  <si>
    <t>dikviksølv</t>
  </si>
  <si>
    <t>166,87</t>
  </si>
  <si>
    <t>Hg²⁺</t>
  </si>
  <si>
    <t>Hg2+</t>
  </si>
  <si>
    <t>kviksølv(II)ion</t>
  </si>
  <si>
    <t>170,21</t>
  </si>
  <si>
    <t>Hg₂Br₂</t>
  </si>
  <si>
    <t>Hg2Br2</t>
  </si>
  <si>
    <t>kviksølv(I)bromid</t>
  </si>
  <si>
    <t>dikviksølvbromid</t>
  </si>
  <si>
    <t>-206,9</t>
  </si>
  <si>
    <t>HgBr₂</t>
  </si>
  <si>
    <t>HgBr2</t>
  </si>
  <si>
    <t>kviksølv(II)bromid</t>
  </si>
  <si>
    <t>-170,7</t>
  </si>
  <si>
    <t>Hg₂Cl₂</t>
  </si>
  <si>
    <t>Hg2Cl2</t>
  </si>
  <si>
    <t>kviksølv(I)chlorid</t>
  </si>
  <si>
    <t>dikviksølvchlorid</t>
  </si>
  <si>
    <t>-265,37</t>
  </si>
  <si>
    <t>HgCl₂</t>
  </si>
  <si>
    <t>HgCl2</t>
  </si>
  <si>
    <t>kviksølv(II)chlorid</t>
  </si>
  <si>
    <t>-224,3</t>
  </si>
  <si>
    <t>Hg₂I₂</t>
  </si>
  <si>
    <t>Hg2I2</t>
  </si>
  <si>
    <t>dikviksølviodid</t>
  </si>
  <si>
    <t>-121,3</t>
  </si>
  <si>
    <t>HgI₂</t>
  </si>
  <si>
    <t>HgI2</t>
  </si>
  <si>
    <t>kviksølv(II)iodid</t>
  </si>
  <si>
    <t>-105,4</t>
  </si>
  <si>
    <t>s,gul</t>
  </si>
  <si>
    <t>-102,9</t>
  </si>
  <si>
    <t>Hg₂(NO₃)₂∙2H₂O</t>
  </si>
  <si>
    <t>Hg2(NO3)2*2H2O</t>
  </si>
  <si>
    <t>Hg2NO322H2O</t>
  </si>
  <si>
    <t>dikviksølvnitrat-vand(1/2)</t>
  </si>
  <si>
    <t>-868,18</t>
  </si>
  <si>
    <t>Hg(NO₃)₂∙½H₂O</t>
  </si>
  <si>
    <t>Hg(NO3)2*½H2O</t>
  </si>
  <si>
    <t>HgNO32½H2O</t>
  </si>
  <si>
    <t>kviksølv(II)nitrat-vand(2/1)</t>
  </si>
  <si>
    <t>-392,46</t>
  </si>
  <si>
    <t>Hg₂O</t>
  </si>
  <si>
    <t>Hg2O</t>
  </si>
  <si>
    <t>kviksølv(I)oxid</t>
  </si>
  <si>
    <t>dikviksølvoxid</t>
  </si>
  <si>
    <t>-91,2</t>
  </si>
  <si>
    <t>HgO</t>
  </si>
  <si>
    <t>kviksølv(II)oxid</t>
  </si>
  <si>
    <t>-90,79</t>
  </si>
  <si>
    <t>-90,83</t>
  </si>
  <si>
    <t>HgS</t>
  </si>
  <si>
    <t>kviksølv(II)sulfid</t>
  </si>
  <si>
    <t>s,sort</t>
  </si>
  <si>
    <t>-50,2</t>
  </si>
  <si>
    <t>Hg₂SO₄</t>
  </si>
  <si>
    <t>Hg2SO4</t>
  </si>
  <si>
    <t>dikviksølvsulfat</t>
  </si>
  <si>
    <t>-743,09</t>
  </si>
  <si>
    <t>Li</t>
  </si>
  <si>
    <t>lithium</t>
  </si>
  <si>
    <t>Li⁺</t>
  </si>
  <si>
    <t>Li+</t>
  </si>
  <si>
    <t>lithium(I)ion</t>
  </si>
  <si>
    <t>lithiumion</t>
  </si>
  <si>
    <t>687,16</t>
  </si>
  <si>
    <t>-278,47</t>
  </si>
  <si>
    <t>LiAlH₄</t>
  </si>
  <si>
    <t>LiAlH4</t>
  </si>
  <si>
    <t>lithiumaluminiumhydrid</t>
  </si>
  <si>
    <t>-117,1</t>
  </si>
  <si>
    <t>LiBH₄</t>
  </si>
  <si>
    <t>LiBH4</t>
  </si>
  <si>
    <t>lithiumborhydrid</t>
  </si>
  <si>
    <t>-190,8</t>
  </si>
  <si>
    <t>LiBr</t>
  </si>
  <si>
    <t>lithiumbromid</t>
  </si>
  <si>
    <t>-351,2</t>
  </si>
  <si>
    <t>Li₂CO₃</t>
  </si>
  <si>
    <t>Li2CO3</t>
  </si>
  <si>
    <t>lithiumcarbonat</t>
  </si>
  <si>
    <t>-1215,6</t>
  </si>
  <si>
    <t>LiCl</t>
  </si>
  <si>
    <t>lithiumchlorid</t>
  </si>
  <si>
    <t>-408,6</t>
  </si>
  <si>
    <t>LiF</t>
  </si>
  <si>
    <t>lithiumfluorid</t>
  </si>
  <si>
    <t>-616,0</t>
  </si>
  <si>
    <t>LiH</t>
  </si>
  <si>
    <t>lithiumhydrid</t>
  </si>
  <si>
    <t>-90,5</t>
  </si>
  <si>
    <t>LiOH</t>
  </si>
  <si>
    <t>lithiumhydroxid</t>
  </si>
  <si>
    <t>-487,5</t>
  </si>
  <si>
    <t>LiI</t>
  </si>
  <si>
    <t>lithiumiodid</t>
  </si>
  <si>
    <t>-270,4</t>
  </si>
  <si>
    <t>Li₂O</t>
  </si>
  <si>
    <t>Li2O</t>
  </si>
  <si>
    <t>lithiumoxid</t>
  </si>
  <si>
    <t>-597,9</t>
  </si>
  <si>
    <t>Li₂SO₄∙H₂O</t>
  </si>
  <si>
    <t>Li2SO4*H2O</t>
  </si>
  <si>
    <t>Li2SO4H2O</t>
  </si>
  <si>
    <t>lithiumsulfat-vand(1/1)</t>
  </si>
  <si>
    <t>-1735,5</t>
  </si>
  <si>
    <t>Mg</t>
  </si>
  <si>
    <t>magnesium</t>
  </si>
  <si>
    <t>Mg²⁺</t>
  </si>
  <si>
    <t>Mg2+</t>
  </si>
  <si>
    <t>magnesium(II)ion</t>
  </si>
  <si>
    <t>magnesiumion</t>
  </si>
  <si>
    <t>2347,3</t>
  </si>
  <si>
    <t>-467,0</t>
  </si>
  <si>
    <t>MgBr₂</t>
  </si>
  <si>
    <t>MgBr2</t>
  </si>
  <si>
    <t>magnesiumbromid</t>
  </si>
  <si>
    <t>-518,6</t>
  </si>
  <si>
    <t>MgCO₃</t>
  </si>
  <si>
    <t>MgCO3</t>
  </si>
  <si>
    <t>magnesiumcarbonat</t>
  </si>
  <si>
    <t>-1095,8</t>
  </si>
  <si>
    <t>Mg₂(OH)₂CO₃∙3H₂O</t>
  </si>
  <si>
    <t>Mg2(OH)2CO3*3H2O</t>
  </si>
  <si>
    <t>Mg2OH2CO33H2O</t>
  </si>
  <si>
    <t>dihydroxocarbonat-vand(1/3)</t>
  </si>
  <si>
    <t>MgCl₂</t>
  </si>
  <si>
    <t>MgCl2</t>
  </si>
  <si>
    <t>magnesiumchlorid</t>
  </si>
  <si>
    <t>-641,3</t>
  </si>
  <si>
    <t>MgCl₂∙6H₂O</t>
  </si>
  <si>
    <t>MgCl2*6H2O</t>
  </si>
  <si>
    <t>MgCl26H2O</t>
  </si>
  <si>
    <t>magnesiumchlorid-vand(1/6)</t>
  </si>
  <si>
    <t>-2497,8</t>
  </si>
  <si>
    <t>Mg(OH)₂</t>
  </si>
  <si>
    <t>Mg(OH)2</t>
  </si>
  <si>
    <t>MgOH2</t>
  </si>
  <si>
    <t>magnesiumhydroxid</t>
  </si>
  <si>
    <t>-924,5</t>
  </si>
  <si>
    <t>MgI₂</t>
  </si>
  <si>
    <t>MgI2</t>
  </si>
  <si>
    <t>magnesiumiodid</t>
  </si>
  <si>
    <t>-364,0</t>
  </si>
  <si>
    <t>Mg(NO₃)₂</t>
  </si>
  <si>
    <t>Mg(NO3)2</t>
  </si>
  <si>
    <t>MgNO32</t>
  </si>
  <si>
    <t>magnesiumnitrat</t>
  </si>
  <si>
    <t>-790,7</t>
  </si>
  <si>
    <t>Mg(NO₃)₂∙6H₂O</t>
  </si>
  <si>
    <t>Mg(NO3)2*6H2O</t>
  </si>
  <si>
    <t>MgNO326H2O</t>
  </si>
  <si>
    <t>magnesiumnitrat-vand(1/6)</t>
  </si>
  <si>
    <t>-2612,3</t>
  </si>
  <si>
    <t>Mg₃N₂</t>
  </si>
  <si>
    <t>Mg3N2</t>
  </si>
  <si>
    <t>magnesiumnitrid</t>
  </si>
  <si>
    <t>-460,8</t>
  </si>
  <si>
    <t>MgO</t>
  </si>
  <si>
    <t>magnesiumoxid</t>
  </si>
  <si>
    <t>-601,60</t>
  </si>
  <si>
    <t>Mg(ClO₄)₂</t>
  </si>
  <si>
    <t>Mg(ClO4)2</t>
  </si>
  <si>
    <t>MgClO42</t>
  </si>
  <si>
    <t>magnesiumperchlorat</t>
  </si>
  <si>
    <t>-568,62</t>
  </si>
  <si>
    <t>Mg(ClO₄)₂∙6H₂O</t>
  </si>
  <si>
    <t>Mg(ClO4)2*6H2O</t>
  </si>
  <si>
    <t>MgClO426H2O</t>
  </si>
  <si>
    <t>magnesiumperchlorat-vand(1/6)</t>
  </si>
  <si>
    <t>-2444,3</t>
  </si>
  <si>
    <t>MgSO₄</t>
  </si>
  <si>
    <t>MgSO4</t>
  </si>
  <si>
    <t>magnesiumsulfat</t>
  </si>
  <si>
    <t>-1284,9</t>
  </si>
  <si>
    <t>MgSO₄∙7H₂O</t>
  </si>
  <si>
    <t>MgSO4*7H2O</t>
  </si>
  <si>
    <t>MgSO47H2O</t>
  </si>
  <si>
    <t>magnesiumsulfat-vand(1/7)</t>
  </si>
  <si>
    <t>-3387,0</t>
  </si>
  <si>
    <t>MgS</t>
  </si>
  <si>
    <t>magnesiumsulfid</t>
  </si>
  <si>
    <t>Mn</t>
  </si>
  <si>
    <t>mangan</t>
  </si>
  <si>
    <t>Mn²⁺</t>
  </si>
  <si>
    <t>Mn2+</t>
  </si>
  <si>
    <t>mangan(II)ion</t>
  </si>
  <si>
    <t>Mn³⁺</t>
  </si>
  <si>
    <t>Mn3+</t>
  </si>
  <si>
    <t>mangan(III)ion</t>
  </si>
  <si>
    <t>-113</t>
  </si>
  <si>
    <t>MnO₄⁻</t>
  </si>
  <si>
    <t>MnO4-</t>
  </si>
  <si>
    <t>permanganat</t>
  </si>
  <si>
    <t>-541,4</t>
  </si>
  <si>
    <t>MnO₄²⁻</t>
  </si>
  <si>
    <t>MnO42-</t>
  </si>
  <si>
    <t>manganat</t>
  </si>
  <si>
    <t>MnCO₃</t>
  </si>
  <si>
    <t>MnCO3</t>
  </si>
  <si>
    <t>mangan(II)carbonat</t>
  </si>
  <si>
    <t>-894,1</t>
  </si>
  <si>
    <t>MnCl₂∙4H₂O</t>
  </si>
  <si>
    <t>MnCl2*4H2O</t>
  </si>
  <si>
    <t>MnCl24H2O</t>
  </si>
  <si>
    <t>mangan(II)chlorid-vand(1/4)</t>
  </si>
  <si>
    <t>-1687</t>
  </si>
  <si>
    <t>MnO(OH)</t>
  </si>
  <si>
    <t>MnOOH</t>
  </si>
  <si>
    <t>sort manganit</t>
  </si>
  <si>
    <t>mangan(III)oxidhydroxid</t>
  </si>
  <si>
    <t>-557,7</t>
  </si>
  <si>
    <t>Mn(OH)₂</t>
  </si>
  <si>
    <t>Mn(OH)2</t>
  </si>
  <si>
    <t>MnOH2</t>
  </si>
  <si>
    <t>mangan(II)hydroxid</t>
  </si>
  <si>
    <t>-695,4</t>
  </si>
  <si>
    <t>Mn₃O₄</t>
  </si>
  <si>
    <t>Mn3O4</t>
  </si>
  <si>
    <t>mangan(II)dimangan(III)oxid</t>
  </si>
  <si>
    <t>-1387,8</t>
  </si>
  <si>
    <t>MnO</t>
  </si>
  <si>
    <t>mangan(II)oxid</t>
  </si>
  <si>
    <t>-385,2</t>
  </si>
  <si>
    <t>Mn₂O₃</t>
  </si>
  <si>
    <t>Mn2O3</t>
  </si>
  <si>
    <t>mangan(III)oxid</t>
  </si>
  <si>
    <t>-959,0</t>
  </si>
  <si>
    <t>MnO₂</t>
  </si>
  <si>
    <t>MnO2</t>
  </si>
  <si>
    <t>brunsten</t>
  </si>
  <si>
    <t>mangan(IV)oxid</t>
  </si>
  <si>
    <t>-520,0</t>
  </si>
  <si>
    <t>MnSO₄</t>
  </si>
  <si>
    <t>MnSO4</t>
  </si>
  <si>
    <t>mangan(II)sulfat</t>
  </si>
  <si>
    <t>-1065,25</t>
  </si>
  <si>
    <t>MnSO₄∙7H₂O</t>
  </si>
  <si>
    <t>MnSO4*7H2O</t>
  </si>
  <si>
    <t>MnSO47H2O</t>
  </si>
  <si>
    <t>mangan(II)sulfat-vand(1/7)</t>
  </si>
  <si>
    <t>-3139</t>
  </si>
  <si>
    <t>MnS</t>
  </si>
  <si>
    <t>mangan(II)sulfid</t>
  </si>
  <si>
    <t>-214,2</t>
  </si>
  <si>
    <t>Mn₂(CO)₁₀</t>
  </si>
  <si>
    <t>Mn2(CO)10</t>
  </si>
  <si>
    <t>Mn2CO10</t>
  </si>
  <si>
    <t>pentacarbonylmangan(dimer)</t>
  </si>
  <si>
    <t>-1677</t>
  </si>
  <si>
    <t>Mo</t>
  </si>
  <si>
    <t>molybdæn</t>
  </si>
  <si>
    <t>Mo(OH)₃</t>
  </si>
  <si>
    <t>Mo(OH)3</t>
  </si>
  <si>
    <t>MoOH3</t>
  </si>
  <si>
    <t>molybdæn(III)hydroxid</t>
  </si>
  <si>
    <t>MoO₂</t>
  </si>
  <si>
    <t>MoO2</t>
  </si>
  <si>
    <t>molybdæn(IV)oxid</t>
  </si>
  <si>
    <t>588,9</t>
  </si>
  <si>
    <t>MoO₃</t>
  </si>
  <si>
    <t>MoO3</t>
  </si>
  <si>
    <t>molybdæn(VI)oxid</t>
  </si>
  <si>
    <t>-745,1</t>
  </si>
  <si>
    <t>H₂MoO₄∙H₂O</t>
  </si>
  <si>
    <t>H2MoO4*H2O</t>
  </si>
  <si>
    <t>H2MoO4H2O</t>
  </si>
  <si>
    <t>molybdænsyre-vand(1/1)</t>
  </si>
  <si>
    <t>-1359,8</t>
  </si>
  <si>
    <t>MoO₄²⁻</t>
  </si>
  <si>
    <t>MoO42-</t>
  </si>
  <si>
    <t>molybdat</t>
  </si>
  <si>
    <t>-997,9</t>
  </si>
  <si>
    <t>Mo(CO)₆</t>
  </si>
  <si>
    <t>Mo(CO)6</t>
  </si>
  <si>
    <t>MoCO6</t>
  </si>
  <si>
    <t>hexacarbonylmolybdæn</t>
  </si>
  <si>
    <t>-989,5</t>
  </si>
  <si>
    <t>Na</t>
  </si>
  <si>
    <t>natrium</t>
  </si>
  <si>
    <t>Na⁺</t>
  </si>
  <si>
    <t>Na+</t>
  </si>
  <si>
    <t>natrium(I)ion</t>
  </si>
  <si>
    <t>natriumion</t>
  </si>
  <si>
    <t>609,84</t>
  </si>
  <si>
    <t>-240,34</t>
  </si>
  <si>
    <t>CH₃COONa∙3H₂O</t>
  </si>
  <si>
    <t>CH3COONa*3H2O</t>
  </si>
  <si>
    <t>CH3COONa3H2O</t>
  </si>
  <si>
    <t>natriumacetat</t>
  </si>
  <si>
    <t>natriumethanoat-vand(1/3)</t>
  </si>
  <si>
    <t>-1605</t>
  </si>
  <si>
    <t>NaHg₂</t>
  </si>
  <si>
    <t>NaHg2</t>
  </si>
  <si>
    <t>natriumamalgam</t>
  </si>
  <si>
    <t>-76,1</t>
  </si>
  <si>
    <t>NaNH₂</t>
  </si>
  <si>
    <t>NaNH2</t>
  </si>
  <si>
    <t>natriumamin</t>
  </si>
  <si>
    <t>-123,8</t>
  </si>
  <si>
    <t>Na₃AsO₄∙12H₂O</t>
  </si>
  <si>
    <t>Na3AsO4*12H2O</t>
  </si>
  <si>
    <t>Na3AsO412H2O</t>
  </si>
  <si>
    <t>natriumarsenat-vand(1/12)</t>
  </si>
  <si>
    <t>-5079</t>
  </si>
  <si>
    <t>NaAsO₂</t>
  </si>
  <si>
    <t>NaAsO2</t>
  </si>
  <si>
    <t>natriumarsenit</t>
  </si>
  <si>
    <t>-660,5</t>
  </si>
  <si>
    <t>NaN₃</t>
  </si>
  <si>
    <t>NaN3</t>
  </si>
  <si>
    <t>natriumazid</t>
  </si>
  <si>
    <t>21,7</t>
  </si>
  <si>
    <t>C₆H₅-COONa</t>
  </si>
  <si>
    <t>C6H5-COONa</t>
  </si>
  <si>
    <t>natriumbenzoat</t>
  </si>
  <si>
    <t>Na₂B₄O₇</t>
  </si>
  <si>
    <t>Na2B4O7</t>
  </si>
  <si>
    <t>natriumtetraborat</t>
  </si>
  <si>
    <t>-3291,1</t>
  </si>
  <si>
    <t>Na₂B₄O₇∙10H₂O</t>
  </si>
  <si>
    <t>Na2B4O7*10H2O</t>
  </si>
  <si>
    <t>Na2B4O710H2O</t>
  </si>
  <si>
    <t>natriumtetraborat-vand(1/10)</t>
  </si>
  <si>
    <t>-6264,3</t>
  </si>
  <si>
    <t>NaBH₄</t>
  </si>
  <si>
    <t>NaBH4</t>
  </si>
  <si>
    <t>natriumborhydrid</t>
  </si>
  <si>
    <t>-188,6</t>
  </si>
  <si>
    <t>NaBr</t>
  </si>
  <si>
    <t>natriumbromid</t>
  </si>
  <si>
    <t>-361,1</t>
  </si>
  <si>
    <t>NaBr∙2H₂O</t>
  </si>
  <si>
    <t>NaBr*2H2O</t>
  </si>
  <si>
    <t>NaBr2H2O</t>
  </si>
  <si>
    <t>natriumbromid-vand(1/2)</t>
  </si>
  <si>
    <t>-951,9</t>
  </si>
  <si>
    <t>NaBrO₃</t>
  </si>
  <si>
    <t>NaBrO3</t>
  </si>
  <si>
    <t>natriumbromat</t>
  </si>
  <si>
    <t>-344,1</t>
  </si>
  <si>
    <t>Na₂CO₃</t>
  </si>
  <si>
    <t>Na2CO3</t>
  </si>
  <si>
    <t>soda</t>
  </si>
  <si>
    <t>natriumcarbonat</t>
  </si>
  <si>
    <t>-1130,7</t>
  </si>
  <si>
    <t>Na₂CO₃∙10H₂O</t>
  </si>
  <si>
    <t>Na2CO3*10H2O</t>
  </si>
  <si>
    <t>Na2CO310H2O</t>
  </si>
  <si>
    <t>krystalsoda</t>
  </si>
  <si>
    <t>natriumcarbonat-vand(1/10)</t>
  </si>
  <si>
    <t>-4081,9</t>
  </si>
  <si>
    <t>NaClO₃</t>
  </si>
  <si>
    <t>NaClO3</t>
  </si>
  <si>
    <t>natriumchlorat</t>
  </si>
  <si>
    <t>-365,8</t>
  </si>
  <si>
    <t>NaCl</t>
  </si>
  <si>
    <t>køkkensalt</t>
  </si>
  <si>
    <t>natriumchlorid</t>
  </si>
  <si>
    <t>-411,2</t>
  </si>
  <si>
    <t>NaClO₂</t>
  </si>
  <si>
    <t>NaClO2</t>
  </si>
  <si>
    <t>natriumchlorit</t>
  </si>
  <si>
    <t>-307,0</t>
  </si>
  <si>
    <t>Na₂Cr₂O₇∙2H₂O</t>
  </si>
  <si>
    <t>Na2Cr2O7*2H2O</t>
  </si>
  <si>
    <t>Na2Cr2O72H2O</t>
  </si>
  <si>
    <t>natriumdichromat-vand(1/2)</t>
  </si>
  <si>
    <t>-1962 (Na₂Cr₂O₇)</t>
  </si>
  <si>
    <t>NaH₂AsO₄∙H₂O</t>
  </si>
  <si>
    <t>NaH2AsO4*H2O</t>
  </si>
  <si>
    <t>NaH2AsO4H2O</t>
  </si>
  <si>
    <t>natriumdihydrogenarsenat-vand(1/1)</t>
  </si>
  <si>
    <t>NaH₂PO₄∙H₂O</t>
  </si>
  <si>
    <t>NaH2PO4*H2O</t>
  </si>
  <si>
    <t>NaH2PO4H2O</t>
  </si>
  <si>
    <t>natriumdihydrogenphosphat-vand(1/1)</t>
  </si>
  <si>
    <t>-2344</t>
  </si>
  <si>
    <t>Na₂S₂O₆∙2H₂O</t>
  </si>
  <si>
    <t>Na2S2O6*2H2O</t>
  </si>
  <si>
    <t>Na2S2O62H2O</t>
  </si>
  <si>
    <t>natriumdithionat-vand(1/2)</t>
  </si>
  <si>
    <t>-1673,2 (Na₂S₂O₆)</t>
  </si>
  <si>
    <t>Na₂S₂O₄∙2H₂O</t>
  </si>
  <si>
    <t>Na2S2O4*2H2O</t>
  </si>
  <si>
    <t>Na2S2O42H2O</t>
  </si>
  <si>
    <t>natriumdithionit-vand(1/2)</t>
  </si>
  <si>
    <t>-1232,2 (Na₂S₂O₆)</t>
  </si>
  <si>
    <t>CH₃CH₂ONa</t>
  </si>
  <si>
    <t>CH3CH2ONa</t>
  </si>
  <si>
    <t>natriumethanolat</t>
  </si>
  <si>
    <t>-413,8</t>
  </si>
  <si>
    <t>NaF</t>
  </si>
  <si>
    <t>natriumfluorid</t>
  </si>
  <si>
    <t>-576,6</t>
  </si>
  <si>
    <t>HCOONa</t>
  </si>
  <si>
    <t>natriumformiat</t>
  </si>
  <si>
    <t>-666,5</t>
  </si>
  <si>
    <t>Na₃Co(NO₂)₆</t>
  </si>
  <si>
    <t>Na3Co(NO2)6</t>
  </si>
  <si>
    <t>Na3CoNO26</t>
  </si>
  <si>
    <t>natriumhexanitrocobaltat</t>
  </si>
  <si>
    <t>Na₃AlF₆</t>
  </si>
  <si>
    <t>Na3AlF6</t>
  </si>
  <si>
    <t>kryolit</t>
  </si>
  <si>
    <t>natriumhexafluoroaluminat</t>
  </si>
  <si>
    <t>-3309,5</t>
  </si>
  <si>
    <t>(NaPO₃)₆</t>
  </si>
  <si>
    <t>(NaPO3)6</t>
  </si>
  <si>
    <t>NaPO36</t>
  </si>
  <si>
    <t>grahams salt</t>
  </si>
  <si>
    <t>natriumhexametaphosphat</t>
  </si>
  <si>
    <t>NaH</t>
  </si>
  <si>
    <t>natriumhydrid</t>
  </si>
  <si>
    <t>-56,3</t>
  </si>
  <si>
    <t>Na₂HAsO₄∙7H₂O</t>
  </si>
  <si>
    <t>Na2HAsO4*7H2O</t>
  </si>
  <si>
    <t>Na2HAsO47H2O</t>
  </si>
  <si>
    <t>natriumhydrogenarsenat-vand(1/7)</t>
  </si>
  <si>
    <t>NaHCO₃</t>
  </si>
  <si>
    <t>NaHCO3</t>
  </si>
  <si>
    <t>natron</t>
  </si>
  <si>
    <t>natriumhydrogencarbonat</t>
  </si>
  <si>
    <t>-950,8</t>
  </si>
  <si>
    <t>Na₂HPO₄∙2H₂O</t>
  </si>
  <si>
    <t>Na2HPO4*2H2O</t>
  </si>
  <si>
    <t>Na2HPO42H2O</t>
  </si>
  <si>
    <t>natriumhydrogenphosphat-vand(1/2)</t>
  </si>
  <si>
    <t>HOOC-COONa∙H₂O</t>
  </si>
  <si>
    <t>HOOC-COONa*H2O</t>
  </si>
  <si>
    <t>HOOC-COONaH2O</t>
  </si>
  <si>
    <t>natriumhydrogenoxalat-vand(1/1)</t>
  </si>
  <si>
    <t>-1381,6</t>
  </si>
  <si>
    <t>NaHSO₄</t>
  </si>
  <si>
    <t>NaHSO4</t>
  </si>
  <si>
    <t>natriumhydrogensulfat</t>
  </si>
  <si>
    <t>-1125,5</t>
  </si>
  <si>
    <t>NaHS</t>
  </si>
  <si>
    <t>natriumhydrogensulfid</t>
  </si>
  <si>
    <t>-236,4</t>
  </si>
  <si>
    <t>NaHSO₃</t>
  </si>
  <si>
    <t>NaHSO3</t>
  </si>
  <si>
    <t>natriumhydrogensulfit</t>
  </si>
  <si>
    <t>NaClO∙2½H₂O</t>
  </si>
  <si>
    <t>NaClO*2½H2O</t>
  </si>
  <si>
    <t>NaClO2½H2O</t>
  </si>
  <si>
    <t>natriumhypochlorit-vand(2/5)</t>
  </si>
  <si>
    <t>NaOH</t>
  </si>
  <si>
    <t>kaustisk soda</t>
  </si>
  <si>
    <t>natriumhydroxid</t>
  </si>
  <si>
    <t>-425,8</t>
  </si>
  <si>
    <t>NaIO₃</t>
  </si>
  <si>
    <t>NaIO3</t>
  </si>
  <si>
    <t>natriumiodat</t>
  </si>
  <si>
    <t>-481,8</t>
  </si>
  <si>
    <t>NaI</t>
  </si>
  <si>
    <t>natriumiodid</t>
  </si>
  <si>
    <t>-287,6</t>
  </si>
  <si>
    <t>NaI∙2H₂O</t>
  </si>
  <si>
    <t>NaI*2H2O</t>
  </si>
  <si>
    <t>NaI2H2O</t>
  </si>
  <si>
    <t>natriumiodid-vand(1/2)</t>
  </si>
  <si>
    <t>-883</t>
  </si>
  <si>
    <t>CH₃ONa</t>
  </si>
  <si>
    <t>CH3ONa</t>
  </si>
  <si>
    <t>natriummethanolat</t>
  </si>
  <si>
    <t>-367,7</t>
  </si>
  <si>
    <t>NaNO₃</t>
  </si>
  <si>
    <t>NaNO3</t>
  </si>
  <si>
    <t>natriumnitrat</t>
  </si>
  <si>
    <t>-467,9</t>
  </si>
  <si>
    <t>Na₃N</t>
  </si>
  <si>
    <t>Na3N</t>
  </si>
  <si>
    <t>natriumnitrid</t>
  </si>
  <si>
    <t>21,3</t>
  </si>
  <si>
    <t>NaNO₂</t>
  </si>
  <si>
    <t>NaNO2</t>
  </si>
  <si>
    <t>nitritsalt</t>
  </si>
  <si>
    <t>natriumnitrit</t>
  </si>
  <si>
    <t>-358,7</t>
  </si>
  <si>
    <t>C₁₇H₃₃COONa</t>
  </si>
  <si>
    <t>C17H33COONa</t>
  </si>
  <si>
    <t>natriumoleat</t>
  </si>
  <si>
    <t>Na₂C₂O₄</t>
  </si>
  <si>
    <t>Na2C2O4</t>
  </si>
  <si>
    <t>natriumoxalat</t>
  </si>
  <si>
    <t>-1315,0</t>
  </si>
  <si>
    <t>Na₂O</t>
  </si>
  <si>
    <t>Na2O</t>
  </si>
  <si>
    <t>natriumoxid</t>
  </si>
  <si>
    <t>-414,2</t>
  </si>
  <si>
    <t>Na₆Mo₇O₂₄∙22H₂O</t>
  </si>
  <si>
    <t>Na6Mo7O24*22H2O</t>
  </si>
  <si>
    <t>Na6Mo7O2422H2O</t>
  </si>
  <si>
    <t>natriumparamolybdat-vand(1/22)</t>
  </si>
  <si>
    <t>NaBO₂∙H₂O₂∙3H₂O</t>
  </si>
  <si>
    <t>NaBO2*H2O2*3H2O</t>
  </si>
  <si>
    <t>NaBO2H2O23H2O</t>
  </si>
  <si>
    <t>natriumperborat-vand(1/3)</t>
  </si>
  <si>
    <t>NaClO₄</t>
  </si>
  <si>
    <t>NaClO4</t>
  </si>
  <si>
    <t>natriumperchlorat</t>
  </si>
  <si>
    <t>-383,3</t>
  </si>
  <si>
    <t>Na₂O₂</t>
  </si>
  <si>
    <t>Na2O2</t>
  </si>
  <si>
    <t>natriumperoxid</t>
  </si>
  <si>
    <t>-510,9</t>
  </si>
  <si>
    <t>Na₂S₂O₈</t>
  </si>
  <si>
    <t>Na2S2O8</t>
  </si>
  <si>
    <t>natriumperoxodisulfat</t>
  </si>
  <si>
    <t>Na₃PO₄∙12H₂O</t>
  </si>
  <si>
    <t>Na3PO4*12H2O</t>
  </si>
  <si>
    <t>Na3PO412H2O</t>
  </si>
  <si>
    <t>natriumphosphat-vand(1/12)</t>
  </si>
  <si>
    <t>-5477</t>
  </si>
  <si>
    <t>Na₂S₂O₅</t>
  </si>
  <si>
    <t>Na2S2O5</t>
  </si>
  <si>
    <t>natriummetabisulfit</t>
  </si>
  <si>
    <t>natriumdisulfit</t>
  </si>
  <si>
    <t>Na₂SiO₃</t>
  </si>
  <si>
    <t>Na2SiO3</t>
  </si>
  <si>
    <t>vandglas</t>
  </si>
  <si>
    <t>natriumsilikat</t>
  </si>
  <si>
    <t>-1554,9</t>
  </si>
  <si>
    <t>C₁₇H₃₅COONa</t>
  </si>
  <si>
    <t>C17H35COONa</t>
  </si>
  <si>
    <t>natriumstearat</t>
  </si>
  <si>
    <t>Na₂SO₄</t>
  </si>
  <si>
    <t>Na2SO4</t>
  </si>
  <si>
    <t>natriumsulfat</t>
  </si>
  <si>
    <t>-1387,1</t>
  </si>
  <si>
    <t>Na₂SO₄∙10H₂O</t>
  </si>
  <si>
    <t>Na2SO4*10H2O</t>
  </si>
  <si>
    <t>Na2SO410H2O</t>
  </si>
  <si>
    <t>glaubersalt</t>
  </si>
  <si>
    <t>natriumsulfat-vand(1/10)</t>
  </si>
  <si>
    <t>-4327,3</t>
  </si>
  <si>
    <t>Na₂S</t>
  </si>
  <si>
    <t>Na2S</t>
  </si>
  <si>
    <t>natriumsulfid</t>
  </si>
  <si>
    <t>-364,8</t>
  </si>
  <si>
    <t>Na₂SO₃</t>
  </si>
  <si>
    <t>Na2SO3</t>
  </si>
  <si>
    <t>natriumsulfit</t>
  </si>
  <si>
    <t>-1100,8</t>
  </si>
  <si>
    <t>Na₂SO₃∙7H₂O</t>
  </si>
  <si>
    <t>Na2SO3*7H2O</t>
  </si>
  <si>
    <t>Na2SO37H2O</t>
  </si>
  <si>
    <t>natriumsulfit-vand(1/7)</t>
  </si>
  <si>
    <t>-3152,2</t>
  </si>
  <si>
    <t>Na₃SbS₄∙9H₂O</t>
  </si>
  <si>
    <t>Na3SbS4*9H2O</t>
  </si>
  <si>
    <t>Na3SbS49H2O</t>
  </si>
  <si>
    <t>schlippes salt</t>
  </si>
  <si>
    <t>natriumtetrathioantimonat-vand(1/9)</t>
  </si>
  <si>
    <t>Na₂S₂O₃</t>
  </si>
  <si>
    <t>Na2S2O3</t>
  </si>
  <si>
    <t>natriumthiosulfat</t>
  </si>
  <si>
    <t>Na₂S₂O₃∙5H₂O</t>
  </si>
  <si>
    <t>Na2S2O3*5H2O</t>
  </si>
  <si>
    <t>Na2S2O35H2O</t>
  </si>
  <si>
    <t>fixersalt</t>
  </si>
  <si>
    <t>natriumthiosulfat-vand(1/5)</t>
  </si>
  <si>
    <t>Na₃(PO₃)₃∙6H₂O</t>
  </si>
  <si>
    <t>Na3(PO3)3*6H2O</t>
  </si>
  <si>
    <t>Na3PO336H2O</t>
  </si>
  <si>
    <t>knorres salt</t>
  </si>
  <si>
    <t>natriumtrioxophosphat-vand(1/6)</t>
  </si>
  <si>
    <t>Na₅P₃O₁₀</t>
  </si>
  <si>
    <t>Na5P3O10</t>
  </si>
  <si>
    <t>natriumtriphosphat</t>
  </si>
  <si>
    <t>W₂O₄∙2H₂O</t>
  </si>
  <si>
    <t>W2O4*2H2O</t>
  </si>
  <si>
    <t>W2O42H2O</t>
  </si>
  <si>
    <t>natriumwolframat-vand(1/2)</t>
  </si>
  <si>
    <t>Na₂H₂C₁₀H₁₂O₈N₂∙2H₂O</t>
  </si>
  <si>
    <t>Na2H2C10H12O8N2*2H2O</t>
  </si>
  <si>
    <t>Na2H2C10H12O8N22H2O</t>
  </si>
  <si>
    <t>natriumEDTA</t>
  </si>
  <si>
    <t>Ne</t>
  </si>
  <si>
    <t>neon</t>
  </si>
  <si>
    <t>Ni</t>
  </si>
  <si>
    <t>nikkel</t>
  </si>
  <si>
    <t>Ni²⁺</t>
  </si>
  <si>
    <t>Ni2+</t>
  </si>
  <si>
    <t>nikkel(II)ionion</t>
  </si>
  <si>
    <t>NiBr₂</t>
  </si>
  <si>
    <t>NiBr2</t>
  </si>
  <si>
    <t>nikkelbromid</t>
  </si>
  <si>
    <t>2NiCO₃∙3Ni(OH)₂∙4H₂O</t>
  </si>
  <si>
    <t>2NiCO3*3Ni(OH)2*4H2O</t>
  </si>
  <si>
    <t>2NiCO33NiOH24H2O</t>
  </si>
  <si>
    <t>nikkel(II)carbonatbasisk-vand(1/4)</t>
  </si>
  <si>
    <t>NiCl₂</t>
  </si>
  <si>
    <t>NiCl2</t>
  </si>
  <si>
    <t>nikkel(II)chlorid</t>
  </si>
  <si>
    <t>NiCl₂∙6H₂O</t>
  </si>
  <si>
    <t>NiCl2*6H2O</t>
  </si>
  <si>
    <t>NiCl26H2O</t>
  </si>
  <si>
    <t>nikkel(II)chlorid-vand/1/6)</t>
  </si>
  <si>
    <t>Ni(OH)₂</t>
  </si>
  <si>
    <t>Ni(OH)2</t>
  </si>
  <si>
    <t>NiOH2</t>
  </si>
  <si>
    <t>nikkel(II)hydroxid</t>
  </si>
  <si>
    <t>Ni(NO₃)₂∙6H₂O</t>
  </si>
  <si>
    <t>Ni(NO3)2*6H2O</t>
  </si>
  <si>
    <t>NiNO326H2O</t>
  </si>
  <si>
    <t>nikkel(II)nitrat-vand(1/6)</t>
  </si>
  <si>
    <t>NiO</t>
  </si>
  <si>
    <t>nikkel(II)oxid</t>
  </si>
  <si>
    <t>NiSO4</t>
  </si>
  <si>
    <t>nikkel(II)sulfat</t>
  </si>
  <si>
    <t>NiSO4∙6H₂O</t>
  </si>
  <si>
    <t>NiSO4*6H2O</t>
  </si>
  <si>
    <t>NiSO46H2O</t>
  </si>
  <si>
    <t>nikkel(II)sulfat-vand(1/6)</t>
  </si>
  <si>
    <t>NiS</t>
  </si>
  <si>
    <t>nikkel(II)sulfid</t>
  </si>
  <si>
    <t>nikkelsulfid</t>
  </si>
  <si>
    <t>Ni(C4H₇N₂O₂)₂</t>
  </si>
  <si>
    <t>Ni(C4H7N2O2)2</t>
  </si>
  <si>
    <t>NiC4H7N2O22</t>
  </si>
  <si>
    <t>dimethylglyoximnikkel(II)</t>
  </si>
  <si>
    <t>nikkel(II)dimethylglyoxim</t>
  </si>
  <si>
    <t>Ni(CO)₄</t>
  </si>
  <si>
    <t>Ni(CO)4</t>
  </si>
  <si>
    <t>NiCO4</t>
  </si>
  <si>
    <t>tetracarbonylnikkel</t>
  </si>
  <si>
    <t>N</t>
  </si>
  <si>
    <t>nitrogen</t>
  </si>
  <si>
    <t>N₂</t>
  </si>
  <si>
    <t>N2</t>
  </si>
  <si>
    <t>kvælstof</t>
  </si>
  <si>
    <t>dinitrogen</t>
  </si>
  <si>
    <t>NO₂</t>
  </si>
  <si>
    <t>NO2</t>
  </si>
  <si>
    <t>nitrogendioxid</t>
  </si>
  <si>
    <t>NO</t>
  </si>
  <si>
    <t>nitrogenoxid</t>
  </si>
  <si>
    <t>N2O</t>
  </si>
  <si>
    <t>lattergas</t>
  </si>
  <si>
    <t>dinitrogenoxid</t>
  </si>
  <si>
    <t>N₂O₄</t>
  </si>
  <si>
    <t>N2O4</t>
  </si>
  <si>
    <t>dinitrogentetraoxid</t>
  </si>
  <si>
    <t>N₂O₃</t>
  </si>
  <si>
    <t>N2O3</t>
  </si>
  <si>
    <t>dinitrogentrioxid</t>
  </si>
  <si>
    <t>N₂O₅</t>
  </si>
  <si>
    <t>N2O5</t>
  </si>
  <si>
    <t>dinitrogenpentaoxid</t>
  </si>
  <si>
    <t>NH₃</t>
  </si>
  <si>
    <t>NH3</t>
  </si>
  <si>
    <t>ammoniak</t>
  </si>
  <si>
    <t>NH₄⁺</t>
  </si>
  <si>
    <t>NH4+</t>
  </si>
  <si>
    <t>ammonium</t>
  </si>
  <si>
    <t>(NH₄)₂CO₃∙H₂O</t>
  </si>
  <si>
    <t>(NH4)2CO3*H2O</t>
  </si>
  <si>
    <t>NH42CO3H2O</t>
  </si>
  <si>
    <t>ammoniumcarbonat-vand(1/1)</t>
  </si>
  <si>
    <t>NH₄Cl</t>
  </si>
  <si>
    <t>NH4Cl</t>
  </si>
  <si>
    <t>salmiak</t>
  </si>
  <si>
    <t>ammoniumchlorid</t>
  </si>
  <si>
    <t>(NH₄)₂CrO₄</t>
  </si>
  <si>
    <t>(NH4)2CrO4</t>
  </si>
  <si>
    <t>NH42CrO4</t>
  </si>
  <si>
    <t>ammoniumchromat</t>
  </si>
  <si>
    <t>(NH₄)₂Cr₂O₇</t>
  </si>
  <si>
    <t>(NH4)2Cr2O7</t>
  </si>
  <si>
    <t>NH42Cr2O7</t>
  </si>
  <si>
    <t>ammoniumdichromat</t>
  </si>
  <si>
    <t>NH₄HCO₃</t>
  </si>
  <si>
    <t>NH4HCO3</t>
  </si>
  <si>
    <t>hjortetakssalt</t>
  </si>
  <si>
    <t>ammoniumhydrogencarbonat</t>
  </si>
  <si>
    <t>NH₄HS</t>
  </si>
  <si>
    <t>NH4HS</t>
  </si>
  <si>
    <t>ammoniumhydrogensulfid</t>
  </si>
  <si>
    <t>NH₄HSO₄</t>
  </si>
  <si>
    <t>NH4HSO4</t>
  </si>
  <si>
    <t>ammoniumhydrogensulfat</t>
  </si>
  <si>
    <t>(NH₄)₂Fe(SO₄)₂∙6H₂O</t>
  </si>
  <si>
    <t>(NH4)2Fe(SO4)2*6H2O</t>
  </si>
  <si>
    <t>NH42FeSO426H2O</t>
  </si>
  <si>
    <t>ammoniumjern(II)sulfat-vand(1/6)</t>
  </si>
  <si>
    <t>NH₄Fe(SO₄)₂∙12H₂O</t>
  </si>
  <si>
    <t>NH4Fe(SO4)2*12H2O</t>
  </si>
  <si>
    <t>NH4FeSO4212H2O</t>
  </si>
  <si>
    <t>ammoniumjern(III)sulfat-vand(1/12)</t>
  </si>
  <si>
    <t>(NH₄)₂MoO₄</t>
  </si>
  <si>
    <t>(NH4)2MoO4</t>
  </si>
  <si>
    <t>NH42MoO4</t>
  </si>
  <si>
    <t>ammoniummolybdat</t>
  </si>
  <si>
    <t>NH₄NO₃</t>
  </si>
  <si>
    <t>NH4NO3</t>
  </si>
  <si>
    <t>ammonsalpeter</t>
  </si>
  <si>
    <t>ammoniumnitrat</t>
  </si>
  <si>
    <t>NH₄NO₂</t>
  </si>
  <si>
    <t>NH4NO2</t>
  </si>
  <si>
    <t>ammoniumnitrit</t>
  </si>
  <si>
    <t>(NH₄)₆Mo₇O₂₄∙4H₂O</t>
  </si>
  <si>
    <t>(NH4)6Mo7O24*4H2O</t>
  </si>
  <si>
    <t>NH46Mo7O244H2O</t>
  </si>
  <si>
    <t>phosphatreagens</t>
  </si>
  <si>
    <t>ammoniumheptamolybdat</t>
  </si>
  <si>
    <t>(NH₄)₂S₂O8</t>
  </si>
  <si>
    <t>(NH4)2S2O8</t>
  </si>
  <si>
    <t>NH42S2O8</t>
  </si>
  <si>
    <t>ammoniumperoxodisulfat</t>
  </si>
  <si>
    <t>(NH₄)₂SO₄</t>
  </si>
  <si>
    <t>(NH4)2SO4</t>
  </si>
  <si>
    <t>NH42SO4</t>
  </si>
  <si>
    <t>ammoniumsulfat</t>
  </si>
  <si>
    <t>NH₄SCN</t>
  </si>
  <si>
    <t>NH4SCN</t>
  </si>
  <si>
    <t>ammoniumthiocyanat</t>
  </si>
  <si>
    <t>NH₄VO₃</t>
  </si>
  <si>
    <t>NH4VO3</t>
  </si>
  <si>
    <t>ammoniumvanadat</t>
  </si>
  <si>
    <t>NH₂NH₂</t>
  </si>
  <si>
    <t>NH2NH2</t>
  </si>
  <si>
    <t>hydrazin</t>
  </si>
  <si>
    <t>NH₂NH₃⁺</t>
  </si>
  <si>
    <t>NH2NH3+</t>
  </si>
  <si>
    <t>hydrazinium</t>
  </si>
  <si>
    <t>NH₂-NH₃Cl</t>
  </si>
  <si>
    <t>NH2-NH3Cl</t>
  </si>
  <si>
    <t>hydrazinchlorid</t>
  </si>
  <si>
    <t>ClNH₃-NH₃Cl</t>
  </si>
  <si>
    <t>ClNH3-NH3Cl</t>
  </si>
  <si>
    <t>hydrazindichlorid</t>
  </si>
  <si>
    <t>(NH₃NH₃)SO₄</t>
  </si>
  <si>
    <t>(NH3NH3)SO4</t>
  </si>
  <si>
    <t>NH3NH3SO4</t>
  </si>
  <si>
    <t>hydrazinsulfat</t>
  </si>
  <si>
    <t>HN₃</t>
  </si>
  <si>
    <t>HN3</t>
  </si>
  <si>
    <t>hydrogenazid</t>
  </si>
  <si>
    <t>NH₂OH</t>
  </si>
  <si>
    <t>NH2OH</t>
  </si>
  <si>
    <t>hydroxylamin</t>
  </si>
  <si>
    <t>NH₂OH⁺</t>
  </si>
  <si>
    <t>NH2OH+</t>
  </si>
  <si>
    <t>NH₃OH</t>
  </si>
  <si>
    <t>NH3OH</t>
  </si>
  <si>
    <t>hydroxylammonium</t>
  </si>
  <si>
    <t>(NH₃OH)Cl</t>
  </si>
  <si>
    <t>(NH3OH)Cl</t>
  </si>
  <si>
    <t>NH3OHCl</t>
  </si>
  <si>
    <t>hydroxylammoniumchlorid</t>
  </si>
  <si>
    <t>(NH₃OH)₂SO₄</t>
  </si>
  <si>
    <t>(NH3OH)2SO4</t>
  </si>
  <si>
    <t>NH3OH2SO4</t>
  </si>
  <si>
    <t>hydroxylammoniumsulfat</t>
  </si>
  <si>
    <t>NO₃⁻</t>
  </si>
  <si>
    <t>NO3-</t>
  </si>
  <si>
    <t>nitrat</t>
  </si>
  <si>
    <t>NO₂⁻</t>
  </si>
  <si>
    <t>NO2-</t>
  </si>
  <si>
    <t>nitrit</t>
  </si>
  <si>
    <t>ONCl</t>
  </si>
  <si>
    <t>nitrosylchlorid</t>
  </si>
  <si>
    <t>chloridooxidonitrogen</t>
  </si>
  <si>
    <t>HNO₃</t>
  </si>
  <si>
    <t>HNO3</t>
  </si>
  <si>
    <t>salpetersyre</t>
  </si>
  <si>
    <t>HNO₂</t>
  </si>
  <si>
    <t>HNO2</t>
  </si>
  <si>
    <t>salpetersyrling</t>
  </si>
  <si>
    <t>O</t>
  </si>
  <si>
    <t>oxygen</t>
  </si>
  <si>
    <t>O₂</t>
  </si>
  <si>
    <t>O2</t>
  </si>
  <si>
    <t>ilt</t>
  </si>
  <si>
    <t>dioxygen</t>
  </si>
  <si>
    <t>O₃</t>
  </si>
  <si>
    <t>O3</t>
  </si>
  <si>
    <t>ozon</t>
  </si>
  <si>
    <t>trioxygen</t>
  </si>
  <si>
    <t>O²⁻</t>
  </si>
  <si>
    <t>O2-</t>
  </si>
  <si>
    <t>oxid</t>
  </si>
  <si>
    <t>H₂O</t>
  </si>
  <si>
    <t>H2O</t>
  </si>
  <si>
    <t>dihydrogenoxid</t>
  </si>
  <si>
    <t>vand</t>
  </si>
  <si>
    <t>tungtvand</t>
  </si>
  <si>
    <t>O₂²⁻</t>
  </si>
  <si>
    <t>O22-</t>
  </si>
  <si>
    <t>peroxid</t>
  </si>
  <si>
    <t>H₂O₂</t>
  </si>
  <si>
    <t>H2O2</t>
  </si>
  <si>
    <t>hydrogenperoxid</t>
  </si>
  <si>
    <t>OH⁻</t>
  </si>
  <si>
    <t>OH-</t>
  </si>
  <si>
    <t>hydroxid</t>
  </si>
  <si>
    <t>O₂•⁻</t>
  </si>
  <si>
    <t>O2•-</t>
  </si>
  <si>
    <t>dioxid(1-)</t>
  </si>
  <si>
    <t>superoxid</t>
  </si>
  <si>
    <t>P₄</t>
  </si>
  <si>
    <t>P4</t>
  </si>
  <si>
    <t>phosphor</t>
  </si>
  <si>
    <t>P</t>
  </si>
  <si>
    <t>s,rød</t>
  </si>
  <si>
    <t>tetraphosphor</t>
  </si>
  <si>
    <t>PH₃</t>
  </si>
  <si>
    <t>PH3</t>
  </si>
  <si>
    <t>phosphan</t>
  </si>
  <si>
    <t>phosphortrihydrid</t>
  </si>
  <si>
    <t>P₄O₁₀</t>
  </si>
  <si>
    <t>P4O10</t>
  </si>
  <si>
    <t>phosphorpentahydrid(dimer)</t>
  </si>
  <si>
    <t>PCl₅</t>
  </si>
  <si>
    <t>PCl5</t>
  </si>
  <si>
    <t>phosphorpentachlorid</t>
  </si>
  <si>
    <t>H₃PO₄</t>
  </si>
  <si>
    <t>H3PO4</t>
  </si>
  <si>
    <t>phosphorsyre</t>
  </si>
  <si>
    <t>H₂PO₄⁻</t>
  </si>
  <si>
    <t>H2PO4-</t>
  </si>
  <si>
    <t>dihydrogenphosphat</t>
  </si>
  <si>
    <t>HPO₄²⁻</t>
  </si>
  <si>
    <t>HPO42-</t>
  </si>
  <si>
    <t>hydrogenphosphat</t>
  </si>
  <si>
    <t>PO₄³⁻</t>
  </si>
  <si>
    <t>PO43-</t>
  </si>
  <si>
    <t>phosphat</t>
  </si>
  <si>
    <t>H₃PO₃</t>
  </si>
  <si>
    <t>H3PO3</t>
  </si>
  <si>
    <t>phosphorsyrling</t>
  </si>
  <si>
    <t>(HPO₃)n</t>
  </si>
  <si>
    <t>(HPO3)n</t>
  </si>
  <si>
    <t>HPO3n</t>
  </si>
  <si>
    <t>metaphosphorsyre</t>
  </si>
  <si>
    <t>nH₃PO₄⁻(n-1)H₂O</t>
  </si>
  <si>
    <t>nH3PO4-(n-1)H2O</t>
  </si>
  <si>
    <t>nH3PO4-n-1H2O</t>
  </si>
  <si>
    <t>polyphosphorsyre</t>
  </si>
  <si>
    <t>P₂O₇⁴⁻</t>
  </si>
  <si>
    <t>P2O74-</t>
  </si>
  <si>
    <t>diphosphat</t>
  </si>
  <si>
    <t>PBr₃</t>
  </si>
  <si>
    <t>PBr3</t>
  </si>
  <si>
    <t>phosphortribromid</t>
  </si>
  <si>
    <t>PCl₃</t>
  </si>
  <si>
    <t>PCl3</t>
  </si>
  <si>
    <t>phosphortrichlorid</t>
  </si>
  <si>
    <t>Pt</t>
  </si>
  <si>
    <t>platin</t>
  </si>
  <si>
    <t>Pt₂²⁺</t>
  </si>
  <si>
    <t>Pt22+</t>
  </si>
  <si>
    <t>platin(II)ion</t>
  </si>
  <si>
    <t>PtCl₂</t>
  </si>
  <si>
    <t>PtCl2</t>
  </si>
  <si>
    <t>platin(II)chlorid</t>
  </si>
  <si>
    <t>PtCl₆²⁻</t>
  </si>
  <si>
    <t>PtCl62-</t>
  </si>
  <si>
    <t>hexachloroplatinat</t>
  </si>
  <si>
    <t>Rb</t>
  </si>
  <si>
    <t>rubidium</t>
  </si>
  <si>
    <t>Rb⁺</t>
  </si>
  <si>
    <t>Rb+</t>
  </si>
  <si>
    <t>rubidium(I)ion</t>
  </si>
  <si>
    <t>RbCl</t>
  </si>
  <si>
    <t>rubiddiumchlorid</t>
  </si>
  <si>
    <t>Se</t>
  </si>
  <si>
    <t>selen</t>
  </si>
  <si>
    <t>H₂Se</t>
  </si>
  <si>
    <t>H2Se</t>
  </si>
  <si>
    <t>selenhydrid</t>
  </si>
  <si>
    <t>SeO₂</t>
  </si>
  <si>
    <t>SeO2</t>
  </si>
  <si>
    <t>selendioxid</t>
  </si>
  <si>
    <t>H₂SeO₄</t>
  </si>
  <si>
    <t>H2SeO4</t>
  </si>
  <si>
    <t>selensyre</t>
  </si>
  <si>
    <t>Si</t>
  </si>
  <si>
    <t>silicium</t>
  </si>
  <si>
    <t>SiC</t>
  </si>
  <si>
    <t>siliciumcarbid</t>
  </si>
  <si>
    <t>SiO₂</t>
  </si>
  <si>
    <t>SiO2</t>
  </si>
  <si>
    <t>kvarts</t>
  </si>
  <si>
    <t>siliciumdioxid</t>
  </si>
  <si>
    <t>SiH₄</t>
  </si>
  <si>
    <t>SiH4</t>
  </si>
  <si>
    <t>silan</t>
  </si>
  <si>
    <t>siliciumhydrid</t>
  </si>
  <si>
    <t>SiCl₄</t>
  </si>
  <si>
    <t>SiCl4</t>
  </si>
  <si>
    <t>siliciumtetrachlorid</t>
  </si>
  <si>
    <t>SiF₄</t>
  </si>
  <si>
    <t>SiF4</t>
  </si>
  <si>
    <t>siliciumtetrafluorid</t>
  </si>
  <si>
    <t>strontium</t>
  </si>
  <si>
    <t>Sr²⁺</t>
  </si>
  <si>
    <t>Sr2+</t>
  </si>
  <si>
    <t>strontium(II)ion</t>
  </si>
  <si>
    <t>SrCO₃</t>
  </si>
  <si>
    <t>SrCO3</t>
  </si>
  <si>
    <t>strontiumcarbonat</t>
  </si>
  <si>
    <t>SrCl₂</t>
  </si>
  <si>
    <t>SrCl2</t>
  </si>
  <si>
    <t>strontiumchlorid</t>
  </si>
  <si>
    <t>SrCl₂∙2H₂O</t>
  </si>
  <si>
    <t>SrCl2*2H2O</t>
  </si>
  <si>
    <t>SrCl22H2O</t>
  </si>
  <si>
    <t>strontiumchlorid-vand(1/2)</t>
  </si>
  <si>
    <t>SrCrO₄</t>
  </si>
  <si>
    <t>SrCrO4</t>
  </si>
  <si>
    <t>strontiumchromat</t>
  </si>
  <si>
    <t>Sr(OH)₂</t>
  </si>
  <si>
    <t>Sr(OH)2</t>
  </si>
  <si>
    <t>SrOH2</t>
  </si>
  <si>
    <t>strontiumhydroxid</t>
  </si>
  <si>
    <t>Sr(OH)₂∙8H₂O</t>
  </si>
  <si>
    <t>Sr(OH)2*8H2O</t>
  </si>
  <si>
    <t>SrOH28H2O</t>
  </si>
  <si>
    <t>strontiumhydroxid-vand(1/8)</t>
  </si>
  <si>
    <t>Sr(NO₃)₂</t>
  </si>
  <si>
    <t>Sr(NO3)2</t>
  </si>
  <si>
    <t>SrNO32</t>
  </si>
  <si>
    <t>strontiumnitrat</t>
  </si>
  <si>
    <t>Sr(NO₃)₂∙4H₂O</t>
  </si>
  <si>
    <t>Sr(NO3)2*4H2O</t>
  </si>
  <si>
    <t>SrNO324H2O</t>
  </si>
  <si>
    <t>strontiumnitrat-vand(1/4)</t>
  </si>
  <si>
    <t>SrO</t>
  </si>
  <si>
    <t>strontiumoxid</t>
  </si>
  <si>
    <t>SrSO₄</t>
  </si>
  <si>
    <t>SrSO4</t>
  </si>
  <si>
    <t>strontiumsulfat</t>
  </si>
  <si>
    <t>S</t>
  </si>
  <si>
    <t>svovl</t>
  </si>
  <si>
    <t>S₈</t>
  </si>
  <si>
    <t>S8</t>
  </si>
  <si>
    <t>svovlrhombisk</t>
  </si>
  <si>
    <t>svovlmonoklin</t>
  </si>
  <si>
    <t>S₂</t>
  </si>
  <si>
    <t>S2</t>
  </si>
  <si>
    <t>disvovl</t>
  </si>
  <si>
    <t>octasvovl</t>
  </si>
  <si>
    <t>SO₂</t>
  </si>
  <si>
    <t>SO2</t>
  </si>
  <si>
    <t>svovldioxid</t>
  </si>
  <si>
    <t>H₂SO₃</t>
  </si>
  <si>
    <t>H2SO3</t>
  </si>
  <si>
    <t>svovlsyrling</t>
  </si>
  <si>
    <t>HSO₃⁻</t>
  </si>
  <si>
    <t>HSO3-</t>
  </si>
  <si>
    <t>hydrogensulfit</t>
  </si>
  <si>
    <t>SO₃²⁻</t>
  </si>
  <si>
    <t>SO32-</t>
  </si>
  <si>
    <t>sulfit</t>
  </si>
  <si>
    <t>H₂S</t>
  </si>
  <si>
    <t>H2S</t>
  </si>
  <si>
    <t>dihydrogensulfid</t>
  </si>
  <si>
    <t>HS⁻</t>
  </si>
  <si>
    <t>HS-</t>
  </si>
  <si>
    <t>hydrogensulfid</t>
  </si>
  <si>
    <t>S²⁻</t>
  </si>
  <si>
    <t>S2-</t>
  </si>
  <si>
    <t>sulfid</t>
  </si>
  <si>
    <t>S₂²⁻</t>
  </si>
  <si>
    <t>S22-</t>
  </si>
  <si>
    <t>disulfid</t>
  </si>
  <si>
    <t>S₃²⁻</t>
  </si>
  <si>
    <t>S32-</t>
  </si>
  <si>
    <t>trisulfid</t>
  </si>
  <si>
    <t>H₂S₂O₈</t>
  </si>
  <si>
    <t>H2S2O8</t>
  </si>
  <si>
    <t>peroxodisvovlsyre</t>
  </si>
  <si>
    <t>H₂SO₄</t>
  </si>
  <si>
    <t>H2SO4</t>
  </si>
  <si>
    <t>svovlsyre</t>
  </si>
  <si>
    <t>HSO₄⁻</t>
  </si>
  <si>
    <t>HSO4-</t>
  </si>
  <si>
    <t>hydrogensulfat</t>
  </si>
  <si>
    <t>SO₄²⁻</t>
  </si>
  <si>
    <t>SO42-</t>
  </si>
  <si>
    <t>sulfat</t>
  </si>
  <si>
    <t>SO₂Cl₂</t>
  </si>
  <si>
    <t>SO2Cl2</t>
  </si>
  <si>
    <t>sulfurylchlorid</t>
  </si>
  <si>
    <t>SO₃</t>
  </si>
  <si>
    <t>SO3</t>
  </si>
  <si>
    <t>svovltrioxid</t>
  </si>
  <si>
    <t>SOCl₂</t>
  </si>
  <si>
    <t>SOCl2</t>
  </si>
  <si>
    <t>thionylchlorid</t>
  </si>
  <si>
    <t>H₂NSO₃H</t>
  </si>
  <si>
    <t>H2NSO3H</t>
  </si>
  <si>
    <t>amidosvovlsyre</t>
  </si>
  <si>
    <t>sulfamidsyre</t>
  </si>
  <si>
    <t>S₂O₃²⁻</t>
  </si>
  <si>
    <t>S2O32-</t>
  </si>
  <si>
    <t>thiosulfat</t>
  </si>
  <si>
    <t>ClSO₃H</t>
  </si>
  <si>
    <t>ClSO3H</t>
  </si>
  <si>
    <t>chlorsulfonsyre</t>
  </si>
  <si>
    <t>SF₆</t>
  </si>
  <si>
    <t>SF6</t>
  </si>
  <si>
    <t>svovlhexafluorid</t>
  </si>
  <si>
    <t>Ag</t>
  </si>
  <si>
    <t>sølv</t>
  </si>
  <si>
    <t>Ag⁺</t>
  </si>
  <si>
    <t>Ag+</t>
  </si>
  <si>
    <t>sølv(I)ion</t>
  </si>
  <si>
    <t>sølvion</t>
  </si>
  <si>
    <t>AgBrO₃</t>
  </si>
  <si>
    <t>AgBrO3</t>
  </si>
  <si>
    <t>sølv(I)bromat</t>
  </si>
  <si>
    <t>sølvbromat</t>
  </si>
  <si>
    <t>AgBr</t>
  </si>
  <si>
    <t>sølv(I)bromid</t>
  </si>
  <si>
    <t>sølvbromid</t>
  </si>
  <si>
    <t>Ag₂CO₃</t>
  </si>
  <si>
    <t>Ag2CO3</t>
  </si>
  <si>
    <t>sølv(I)carbonat</t>
  </si>
  <si>
    <t>sølvcarbonat</t>
  </si>
  <si>
    <t>AgCl</t>
  </si>
  <si>
    <t>sølv(I)chlorid</t>
  </si>
  <si>
    <t>sølvchlorid</t>
  </si>
  <si>
    <t>Ag₂CrO₄</t>
  </si>
  <si>
    <t>Ag2CrO4</t>
  </si>
  <si>
    <t>sølv(I)chromat</t>
  </si>
  <si>
    <t>sølvchromat</t>
  </si>
  <si>
    <t>AgCN</t>
  </si>
  <si>
    <t>sølv(I)cyanid</t>
  </si>
  <si>
    <t>sølvcyanid</t>
  </si>
  <si>
    <t>AgF</t>
  </si>
  <si>
    <t>sølv(I)fluorid</t>
  </si>
  <si>
    <t>sølvfluorid</t>
  </si>
  <si>
    <t>AgIO₃</t>
  </si>
  <si>
    <t>AgIO3</t>
  </si>
  <si>
    <t>sølv(I)iodat</t>
  </si>
  <si>
    <t>sølviodat</t>
  </si>
  <si>
    <t>AgI</t>
  </si>
  <si>
    <t>sølv(I)iodid</t>
  </si>
  <si>
    <t>sølviodid</t>
  </si>
  <si>
    <t>-61,87</t>
  </si>
  <si>
    <t>AgNO₃</t>
  </si>
  <si>
    <t>AgNO3</t>
  </si>
  <si>
    <t>sølv(I)nitrat</t>
  </si>
  <si>
    <t>sølvnitrat</t>
  </si>
  <si>
    <t>-124,45</t>
  </si>
  <si>
    <t>Ag₃PO₄</t>
  </si>
  <si>
    <t>Ag3PO4</t>
  </si>
  <si>
    <t>sølv(I)phosphat</t>
  </si>
  <si>
    <t>sølvphosphat</t>
  </si>
  <si>
    <t>-988,31</t>
  </si>
  <si>
    <t>Ag₂O</t>
  </si>
  <si>
    <t>Ag2O</t>
  </si>
  <si>
    <t>sølvoxid</t>
  </si>
  <si>
    <t>sølv(I)oxid</t>
  </si>
  <si>
    <t>-31,06</t>
  </si>
  <si>
    <t>AgO</t>
  </si>
  <si>
    <t>sølv(II)oxid</t>
  </si>
  <si>
    <t>-24,3</t>
  </si>
  <si>
    <t>Ag₂SO₄</t>
  </si>
  <si>
    <t>Ag2SO4</t>
  </si>
  <si>
    <t>sølv(I)sulfat</t>
  </si>
  <si>
    <t>sølvsulfat</t>
  </si>
  <si>
    <t>-715,9</t>
  </si>
  <si>
    <t>Ag₂S</t>
  </si>
  <si>
    <t>Ag2S</t>
  </si>
  <si>
    <t>sølv(I)sulfid</t>
  </si>
  <si>
    <t>sølvsulfid</t>
  </si>
  <si>
    <t>-32,61</t>
  </si>
  <si>
    <t>-29,43</t>
  </si>
  <si>
    <t>Th</t>
  </si>
  <si>
    <t>thorium</t>
  </si>
  <si>
    <t>Th⁴⁺</t>
  </si>
  <si>
    <t>Th4+</t>
  </si>
  <si>
    <t>thorium(IV)ion</t>
  </si>
  <si>
    <t>-769,0</t>
  </si>
  <si>
    <t>Th(NO₃)₄</t>
  </si>
  <si>
    <t>Th(NO3)4</t>
  </si>
  <si>
    <t>ThNO34</t>
  </si>
  <si>
    <t>thor(IV)nitrat</t>
  </si>
  <si>
    <t>-1446</t>
  </si>
  <si>
    <t>Th(NO₃)₅∙5H₂O</t>
  </si>
  <si>
    <t>Th(NO3)5*5H2O</t>
  </si>
  <si>
    <t>ThNO355H2O</t>
  </si>
  <si>
    <t>thor(IV)nitrat-vand(1/5)</t>
  </si>
  <si>
    <t>-3007,9</t>
  </si>
  <si>
    <t>Th(NO₃)₄∙12H₂O</t>
  </si>
  <si>
    <t>Th(NO3)4*12H2O</t>
  </si>
  <si>
    <t>ThNO3412H2O</t>
  </si>
  <si>
    <t>thor(IV)nitrat-vand(1/12)</t>
  </si>
  <si>
    <t>ThO₂</t>
  </si>
  <si>
    <t>ThO2</t>
  </si>
  <si>
    <t>thor(IV)oxid</t>
  </si>
  <si>
    <t>-1226,4</t>
  </si>
  <si>
    <t>Sn</t>
  </si>
  <si>
    <t>tin</t>
  </si>
  <si>
    <t>s,grå</t>
  </si>
  <si>
    <t>-2,1</t>
  </si>
  <si>
    <t>Sn²⁺</t>
  </si>
  <si>
    <t>Sn2+</t>
  </si>
  <si>
    <t>tin(II)ion</t>
  </si>
  <si>
    <t>-8,9</t>
  </si>
  <si>
    <t>Sn⁴⁺</t>
  </si>
  <si>
    <t>Sn4+</t>
  </si>
  <si>
    <t>tin(IV)ion</t>
  </si>
  <si>
    <t>30,5</t>
  </si>
  <si>
    <t>SnCl₂∙2H₂O</t>
  </si>
  <si>
    <t>SnCl2*2H2O</t>
  </si>
  <si>
    <t>SnCl22H2O</t>
  </si>
  <si>
    <t>tin(II)chlorid-vand(1/2)</t>
  </si>
  <si>
    <t>-921,3</t>
  </si>
  <si>
    <t>SnCl₄</t>
  </si>
  <si>
    <t>SnCl4</t>
  </si>
  <si>
    <t>tin(IV)chlorid</t>
  </si>
  <si>
    <t>-511,3</t>
  </si>
  <si>
    <t>SnH₄</t>
  </si>
  <si>
    <t>SnH4</t>
  </si>
  <si>
    <t>tin(IV)hydrid</t>
  </si>
  <si>
    <t>162,8</t>
  </si>
  <si>
    <t>Sn(OH)₂</t>
  </si>
  <si>
    <t>Sn(OH)2</t>
  </si>
  <si>
    <t>SnOH2</t>
  </si>
  <si>
    <t>tin(II)hydroxid</t>
  </si>
  <si>
    <t>-561,1</t>
  </si>
  <si>
    <t>Sn(NO₃)₂∙20H₂O</t>
  </si>
  <si>
    <t>Sn(NO3)2*20H2O</t>
  </si>
  <si>
    <t>SnNO3220H2O</t>
  </si>
  <si>
    <t>tin(II)nitrat-vand(1/20)</t>
  </si>
  <si>
    <t>SnO</t>
  </si>
  <si>
    <t>tin(II)oxid</t>
  </si>
  <si>
    <t>-280,71</t>
  </si>
  <si>
    <t>SnO₂</t>
  </si>
  <si>
    <t>SnO2</t>
  </si>
  <si>
    <t>tin(IV)oxid</t>
  </si>
  <si>
    <t>-577,63</t>
  </si>
  <si>
    <t>SnSO₄</t>
  </si>
  <si>
    <t>SnSO4</t>
  </si>
  <si>
    <t>tin(II)sulfat</t>
  </si>
  <si>
    <t>-1014,6</t>
  </si>
  <si>
    <t>SnS</t>
  </si>
  <si>
    <t>tin(II)sulfid</t>
  </si>
  <si>
    <t>SnS₂</t>
  </si>
  <si>
    <t>SnS2</t>
  </si>
  <si>
    <t>tin(IV)sulfid</t>
  </si>
  <si>
    <t>-153,5</t>
  </si>
  <si>
    <t>Ti</t>
  </si>
  <si>
    <t>titan</t>
  </si>
  <si>
    <t>TiC</t>
  </si>
  <si>
    <t>titancarbid</t>
  </si>
  <si>
    <t>-226</t>
  </si>
  <si>
    <t>TiCl₂</t>
  </si>
  <si>
    <t>TiCl2</t>
  </si>
  <si>
    <t>titan(II)chlorid</t>
  </si>
  <si>
    <t>-513,8</t>
  </si>
  <si>
    <t>TiCl₃</t>
  </si>
  <si>
    <t>TiCl3</t>
  </si>
  <si>
    <t>titan(III)chlorid</t>
  </si>
  <si>
    <t>-720,9</t>
  </si>
  <si>
    <t>TiCl₄</t>
  </si>
  <si>
    <t>TiCl4</t>
  </si>
  <si>
    <t>titan(IV)chlorid</t>
  </si>
  <si>
    <t>-804,2</t>
  </si>
  <si>
    <t>TiO₂</t>
  </si>
  <si>
    <t>TiO2</t>
  </si>
  <si>
    <t>titan(IV)oxid</t>
  </si>
  <si>
    <t>-944,0</t>
  </si>
  <si>
    <t>U</t>
  </si>
  <si>
    <t>uran</t>
  </si>
  <si>
    <t>U³⁺</t>
  </si>
  <si>
    <t>U3+</t>
  </si>
  <si>
    <t>uran(III)ion</t>
  </si>
  <si>
    <t>-489,1</t>
  </si>
  <si>
    <t>U⁴⁺</t>
  </si>
  <si>
    <t>U4+</t>
  </si>
  <si>
    <t>uran(IV)ion</t>
  </si>
  <si>
    <t>-591,2</t>
  </si>
  <si>
    <t>UO₂²⁺</t>
  </si>
  <si>
    <t>UO22+</t>
  </si>
  <si>
    <t>uranyl(II)ion</t>
  </si>
  <si>
    <t>-1019,0</t>
  </si>
  <si>
    <t>U₃O₈</t>
  </si>
  <si>
    <t>U3O8</t>
  </si>
  <si>
    <t>uran(IV)diuran(VI)oxid</t>
  </si>
  <si>
    <t>-3574,8</t>
  </si>
  <si>
    <t>UF₆</t>
  </si>
  <si>
    <t>UF6</t>
  </si>
  <si>
    <t>uranhexafluorid</t>
  </si>
  <si>
    <t>-2197,0</t>
  </si>
  <si>
    <t>UO₂</t>
  </si>
  <si>
    <t>UO2</t>
  </si>
  <si>
    <t>uran(IV)oxid</t>
  </si>
  <si>
    <t>-1085,0</t>
  </si>
  <si>
    <t>UO₃</t>
  </si>
  <si>
    <t>UO3</t>
  </si>
  <si>
    <t>uran(VI)oxid</t>
  </si>
  <si>
    <t>-1223,8</t>
  </si>
  <si>
    <t>UO₂(NO₃)₂∙6H₂O</t>
  </si>
  <si>
    <t>UO2(NO3)2*6H2O</t>
  </si>
  <si>
    <t>UO2NO326H2O</t>
  </si>
  <si>
    <t>uranylnitrat-vand(1/6)</t>
  </si>
  <si>
    <t>-3168,1</t>
  </si>
  <si>
    <t>UO₂(SO₄)∙3H₂O</t>
  </si>
  <si>
    <t>UO2(SO4)*3H2O</t>
  </si>
  <si>
    <t>UO2SO43H2O</t>
  </si>
  <si>
    <t>uranylsulfat-vand(1/3)</t>
  </si>
  <si>
    <t>-2789,9</t>
  </si>
  <si>
    <t>V</t>
  </si>
  <si>
    <t>vanadium</t>
  </si>
  <si>
    <t>V₂O₃</t>
  </si>
  <si>
    <t>V2O3</t>
  </si>
  <si>
    <t>vanadium(III)oxid</t>
  </si>
  <si>
    <t>-1218,8</t>
  </si>
  <si>
    <t>V₂O₅</t>
  </si>
  <si>
    <t>V2O5</t>
  </si>
  <si>
    <t>vanadium(V)oxid</t>
  </si>
  <si>
    <t>-1550,6</t>
  </si>
  <si>
    <t>V₂(SO₄)₃</t>
  </si>
  <si>
    <t>V2(SO4)3</t>
  </si>
  <si>
    <t>V2SO43</t>
  </si>
  <si>
    <t>vanadium(III)sulfat</t>
  </si>
  <si>
    <t>VOSO₄</t>
  </si>
  <si>
    <t>VOSO4</t>
  </si>
  <si>
    <t>vanadium(IV)oxysulfat</t>
  </si>
  <si>
    <t>-1309</t>
  </si>
  <si>
    <t>V(CO)₆</t>
  </si>
  <si>
    <t>V(CO)6</t>
  </si>
  <si>
    <t>VCO6</t>
  </si>
  <si>
    <t>hexacarbonylvanadium</t>
  </si>
  <si>
    <t>W</t>
  </si>
  <si>
    <t>wolfram</t>
  </si>
  <si>
    <t>WC</t>
  </si>
  <si>
    <t>wolframcarbid</t>
  </si>
  <si>
    <t>-40</t>
  </si>
  <si>
    <t>WO₃</t>
  </si>
  <si>
    <t>WO3</t>
  </si>
  <si>
    <t>wolfram(VI)oxid</t>
  </si>
  <si>
    <t>-842,9</t>
  </si>
  <si>
    <t>WF₆</t>
  </si>
  <si>
    <t>WF6</t>
  </si>
  <si>
    <t>wolframhexafluorid</t>
  </si>
  <si>
    <t>-1721,5</t>
  </si>
  <si>
    <t>Xe</t>
  </si>
  <si>
    <t>xenon</t>
  </si>
  <si>
    <t>XeO₃</t>
  </si>
  <si>
    <t>XeO3</t>
  </si>
  <si>
    <t>xenontrioxid</t>
  </si>
  <si>
    <t>402</t>
  </si>
  <si>
    <t>XeO₄</t>
  </si>
  <si>
    <t>XeO4</t>
  </si>
  <si>
    <t>xenontetraoxid</t>
  </si>
  <si>
    <t>642,24</t>
  </si>
  <si>
    <t>XeF₂</t>
  </si>
  <si>
    <t>XeF2</t>
  </si>
  <si>
    <t>xenondifluorid</t>
  </si>
  <si>
    <t>-162,8</t>
  </si>
  <si>
    <t>XeF₄</t>
  </si>
  <si>
    <t>XeF4</t>
  </si>
  <si>
    <t>xenontetrafluorid</t>
  </si>
  <si>
    <t>-267,1</t>
  </si>
  <si>
    <t>XeF₆</t>
  </si>
  <si>
    <t>XeF6</t>
  </si>
  <si>
    <t>xenonhexafluorid</t>
  </si>
  <si>
    <t>-338,2</t>
  </si>
  <si>
    <t>Zn</t>
  </si>
  <si>
    <t>zink</t>
  </si>
  <si>
    <t>Zn²⁺</t>
  </si>
  <si>
    <t>Zn2+</t>
  </si>
  <si>
    <t>zink(II)ion</t>
  </si>
  <si>
    <t>zinkion</t>
  </si>
  <si>
    <t>-153,39</t>
  </si>
  <si>
    <t>ZnBr₂</t>
  </si>
  <si>
    <t>ZnBr2</t>
  </si>
  <si>
    <t>zink(II)bromid</t>
  </si>
  <si>
    <t>zinkbromid</t>
  </si>
  <si>
    <t>-328,7</t>
  </si>
  <si>
    <t>ZnCO₃</t>
  </si>
  <si>
    <t>ZnCO3</t>
  </si>
  <si>
    <t>zink(II)carbonat</t>
  </si>
  <si>
    <t>zinkcarbonat</t>
  </si>
  <si>
    <t>-812,78</t>
  </si>
  <si>
    <t>ZnCl₂</t>
  </si>
  <si>
    <t>ZnCl2</t>
  </si>
  <si>
    <t>zink(II)chlorid</t>
  </si>
  <si>
    <t>zinkchlorid</t>
  </si>
  <si>
    <t>-415,1</t>
  </si>
  <si>
    <t>Zn(OH)₂</t>
  </si>
  <si>
    <t>Zn(OH)2</t>
  </si>
  <si>
    <t>ZnOH2</t>
  </si>
  <si>
    <t>zink(II)hydroxid</t>
  </si>
  <si>
    <t>zinkhydroxid</t>
  </si>
  <si>
    <t>-643,25</t>
  </si>
  <si>
    <t>ZnI₂</t>
  </si>
  <si>
    <t>ZnI2</t>
  </si>
  <si>
    <t>zink(II)iodid</t>
  </si>
  <si>
    <t>zinkiodid</t>
  </si>
  <si>
    <t>208,0</t>
  </si>
  <si>
    <t>Zn(NO₃)₂∙6H₂O</t>
  </si>
  <si>
    <t>Zn(NO3)2*6H2O</t>
  </si>
  <si>
    <t>ZnNO326H2O</t>
  </si>
  <si>
    <t>zink(II)nitrat-vand(1/6)</t>
  </si>
  <si>
    <t>zinknitrat-vand(1/6)</t>
  </si>
  <si>
    <t>-2306,6</t>
  </si>
  <si>
    <t>ZnO</t>
  </si>
  <si>
    <t>zink(II)oxid</t>
  </si>
  <si>
    <t>zinkoxid</t>
  </si>
  <si>
    <t>-350,46</t>
  </si>
  <si>
    <t>ZnSO₄</t>
  </si>
  <si>
    <t>ZnSO4</t>
  </si>
  <si>
    <t>zink(II)sulfat</t>
  </si>
  <si>
    <t>zinksulfat</t>
  </si>
  <si>
    <t>-982,8</t>
  </si>
  <si>
    <t>ZnSO₄∙7H₂O</t>
  </si>
  <si>
    <t>ZnSO4*7H2O</t>
  </si>
  <si>
    <t>ZnSO47H2O</t>
  </si>
  <si>
    <t>zink(II)sulfat-vand(1/7)</t>
  </si>
  <si>
    <t>zinksulfat-vand(1/7)</t>
  </si>
  <si>
    <t>-3077,8</t>
  </si>
  <si>
    <t>ZnS</t>
  </si>
  <si>
    <t>zink(II)sulfid</t>
  </si>
  <si>
    <t>zinksulfid</t>
  </si>
  <si>
    <t>-185</t>
  </si>
  <si>
    <t>Zr</t>
  </si>
  <si>
    <t>zirkonium</t>
  </si>
  <si>
    <t>ZrCl₄</t>
  </si>
  <si>
    <t>ZrCl4</t>
  </si>
  <si>
    <t>zirkonium(IV)chlorid</t>
  </si>
  <si>
    <t>-979,8</t>
  </si>
  <si>
    <t>Zr(NO₃)₄∙5H₂O</t>
  </si>
  <si>
    <t>Zr(NO3)4*5H2O</t>
  </si>
  <si>
    <t>ZrNO345H2O</t>
  </si>
  <si>
    <t>zirkonium(IV)nitrat-vand(1/5)</t>
  </si>
  <si>
    <t>ZrO₂</t>
  </si>
  <si>
    <t>ZrO2</t>
  </si>
  <si>
    <t>zirkonium(IV)oxid</t>
  </si>
  <si>
    <t>-1097,5</t>
  </si>
  <si>
    <t>ZrOCl₂∙8H₂O</t>
  </si>
  <si>
    <t>ZrOCl2*8H2O</t>
  </si>
  <si>
    <t>ZrOCl28H2O</t>
  </si>
  <si>
    <t>zirkonylchlorid-vand(1/8)</t>
  </si>
  <si>
    <t>CH₄</t>
  </si>
  <si>
    <t>CH4</t>
  </si>
  <si>
    <t>methan</t>
  </si>
  <si>
    <t>C₂H₆</t>
  </si>
  <si>
    <t>C2H6</t>
  </si>
  <si>
    <t>ethan</t>
  </si>
  <si>
    <t>C₃H₈</t>
  </si>
  <si>
    <t>C3H8</t>
  </si>
  <si>
    <t>propan</t>
  </si>
  <si>
    <t>C₄H₁₀</t>
  </si>
  <si>
    <t>C4H10</t>
  </si>
  <si>
    <t>butan</t>
  </si>
  <si>
    <t>C₅H₁₂</t>
  </si>
  <si>
    <t>C5H12</t>
  </si>
  <si>
    <t>pentan</t>
  </si>
  <si>
    <t>C₆H₁₄</t>
  </si>
  <si>
    <t>C6H14</t>
  </si>
  <si>
    <t>hexan</t>
  </si>
  <si>
    <t>CH₃(CH₂)₄CH₃</t>
  </si>
  <si>
    <t>CH3(CH2)4CH3</t>
  </si>
  <si>
    <t>CH3CH24CH3</t>
  </si>
  <si>
    <t>C₇H₁₆</t>
  </si>
  <si>
    <t>C7H16</t>
  </si>
  <si>
    <t>heptan</t>
  </si>
  <si>
    <t>CH₃(CH₂)₅CH₃</t>
  </si>
  <si>
    <t>CH3(CH2)5CH3</t>
  </si>
  <si>
    <t>CH3CH25CH3</t>
  </si>
  <si>
    <t>C₈H₁₈</t>
  </si>
  <si>
    <t>C8H18</t>
  </si>
  <si>
    <t>octan</t>
  </si>
  <si>
    <t>CH₃(CH₂)₆CH₃</t>
  </si>
  <si>
    <t>CH3(CH2)6CH3</t>
  </si>
  <si>
    <t>CH3CH26CH3</t>
  </si>
  <si>
    <t>C₉H₂₀</t>
  </si>
  <si>
    <t>C9H20</t>
  </si>
  <si>
    <t>nonan</t>
  </si>
  <si>
    <t>C₁₀H₂₂</t>
  </si>
  <si>
    <t>C10H22</t>
  </si>
  <si>
    <t>decan</t>
  </si>
  <si>
    <t>CH₃(CH₂)₉CH₃</t>
  </si>
  <si>
    <t>CH3(CH2)9CH3</t>
  </si>
  <si>
    <t>CH3CH29CH3</t>
  </si>
  <si>
    <t>undecan</t>
  </si>
  <si>
    <t>CH₃(CH₂)₁₀CH₃</t>
  </si>
  <si>
    <t>CH3(CH2)10CH3</t>
  </si>
  <si>
    <t>CH3CH210CH3</t>
  </si>
  <si>
    <t>dodecan</t>
  </si>
  <si>
    <t>CH₃(CH₂)₁₁CH₃</t>
  </si>
  <si>
    <t>CH3(CH2)11CH3</t>
  </si>
  <si>
    <t>CH3CH211CH3</t>
  </si>
  <si>
    <t>tridecan</t>
  </si>
  <si>
    <t>CH₃(CH₂)₁₂CH₃</t>
  </si>
  <si>
    <t>CH3(CH2)12CH3</t>
  </si>
  <si>
    <t>CH3CH212CH3</t>
  </si>
  <si>
    <t>tetradecan</t>
  </si>
  <si>
    <t>CH₃(CH₂)₁₃CH₃</t>
  </si>
  <si>
    <t>CH3(CH2)13CH3</t>
  </si>
  <si>
    <t>CH3CH213CH3</t>
  </si>
  <si>
    <t>pentadecan</t>
  </si>
  <si>
    <t>CH₃(CH₂)₁₄CH₃</t>
  </si>
  <si>
    <t>CH3(CH2)14CH3</t>
  </si>
  <si>
    <t>CH3CH214CH3</t>
  </si>
  <si>
    <t>hexadecan</t>
  </si>
  <si>
    <t>CH₃(CH₂)₁₅CH₃</t>
  </si>
  <si>
    <t>CH3(CH2)15CH3</t>
  </si>
  <si>
    <t>CH3CH215CH3</t>
  </si>
  <si>
    <t>heptadecan</t>
  </si>
  <si>
    <t>CH₃(CH₂)₁₆CH₃</t>
  </si>
  <si>
    <t>CH3(CH2)16CH3</t>
  </si>
  <si>
    <t>CH3CH216CH3</t>
  </si>
  <si>
    <t>octadecan</t>
  </si>
  <si>
    <t>CH₃(CH₂)₁₇CH₃</t>
  </si>
  <si>
    <t>CH3(CH2)17CH3</t>
  </si>
  <si>
    <t>CH3CH217CH3</t>
  </si>
  <si>
    <t>nonadecan</t>
  </si>
  <si>
    <t>CH₃(CH₂)₁₈CH₃</t>
  </si>
  <si>
    <t>CH3(CH2)18CH3</t>
  </si>
  <si>
    <t>CH3CH218CH3</t>
  </si>
  <si>
    <t>icosan</t>
  </si>
  <si>
    <t>(CH₃)₃CH</t>
  </si>
  <si>
    <t>(CH3)3CH</t>
  </si>
  <si>
    <t>CH33CH</t>
  </si>
  <si>
    <t>isobutan</t>
  </si>
  <si>
    <t>2-methylpropan</t>
  </si>
  <si>
    <t>(CH₃)₂CHCH₂CH₃</t>
  </si>
  <si>
    <t>(CH3)2CHCH2CH3</t>
  </si>
  <si>
    <t>CH32CHCH2CH3</t>
  </si>
  <si>
    <t>isopentan</t>
  </si>
  <si>
    <t>2-methylbutan</t>
  </si>
  <si>
    <t>C(CH₃)₄</t>
  </si>
  <si>
    <t>C(CH3)4</t>
  </si>
  <si>
    <t>CCH34</t>
  </si>
  <si>
    <t>neopentan</t>
  </si>
  <si>
    <t>2,2-dimethylpropan</t>
  </si>
  <si>
    <t>(CH₃)₂CH(CH₂)₂CH₃</t>
  </si>
  <si>
    <t>(CH3)2CH(CH2)2CH3</t>
  </si>
  <si>
    <t>CH32CHCH22CH3</t>
  </si>
  <si>
    <t>2-methylpentan</t>
  </si>
  <si>
    <t>CH₃CH(CH₂CH₃)₂</t>
  </si>
  <si>
    <t>CH3CH(CH2CH3)2</t>
  </si>
  <si>
    <t>CH3CHCH2CH32</t>
  </si>
  <si>
    <t>3-methylpentan</t>
  </si>
  <si>
    <t>CH₃CH₂C(CH₃)₃</t>
  </si>
  <si>
    <t>CH3CH2C(CH3)3</t>
  </si>
  <si>
    <t>CH3CH2CCH33</t>
  </si>
  <si>
    <t>2,2-dimethylbutan</t>
  </si>
  <si>
    <t>(CH₃)₂CHCH(CH₃)₂</t>
  </si>
  <si>
    <t>(CH3)2CHCH(CH3)2</t>
  </si>
  <si>
    <t>CH32CHCHCH32</t>
  </si>
  <si>
    <t>2,3-dimethylbutan</t>
  </si>
  <si>
    <t>(CH₃)₂CH(CH₂)₃CH₃</t>
  </si>
  <si>
    <t>(CH3)2CH(CH2)3CH3</t>
  </si>
  <si>
    <t>CH32CHCH23CH3</t>
  </si>
  <si>
    <t>2-methylhexan</t>
  </si>
  <si>
    <t>CH₃CH₂CH(CH₃)(CH₂)₂CH₃</t>
  </si>
  <si>
    <t>CH3CH2CH(CH3)(CH2)2CH3</t>
  </si>
  <si>
    <t>CH3CH2CHCH3CH22CH3</t>
  </si>
  <si>
    <t>(R,S)-3-methylhexan</t>
  </si>
  <si>
    <t>(CH₃)₃C(CH₂)₂CH₃</t>
  </si>
  <si>
    <t>(CH3)3C(CH2)2CH3</t>
  </si>
  <si>
    <t>CH33CCH22CH3</t>
  </si>
  <si>
    <t>2,2-dimethylpentan</t>
  </si>
  <si>
    <t>(CH₃)₂CHCH(CH₃)CH₂CH₃</t>
  </si>
  <si>
    <t>(CH3)2CHCH(CH3)CH2CH3</t>
  </si>
  <si>
    <t>CH32CHCHCH3CH2CH3</t>
  </si>
  <si>
    <t>2,3-dimethylpentan</t>
  </si>
  <si>
    <t>(CH₃)₂C(CH₂CH₃)₂</t>
  </si>
  <si>
    <t>(CH3)2C(CH2CH3)2</t>
  </si>
  <si>
    <t>CH32CCH2CH32</t>
  </si>
  <si>
    <t>3,3-dimethylpentan</t>
  </si>
  <si>
    <t>CH₂(CH(CH₃)₂)₂</t>
  </si>
  <si>
    <t>CH2(CH(CH3)2)2</t>
  </si>
  <si>
    <t>CH2CHCH322</t>
  </si>
  <si>
    <t>2,4-dimethylpentan</t>
  </si>
  <si>
    <t>(CH₃)₃CCH(CH₃)CH₃</t>
  </si>
  <si>
    <t>(CH3)3CCH(CH3)CH3</t>
  </si>
  <si>
    <t>CH33CCHCH3CH3</t>
  </si>
  <si>
    <t>2,2,3-trimethylbutan</t>
  </si>
  <si>
    <t>CH₃CH₂CH(C₂H₅)CH₂CH₃</t>
  </si>
  <si>
    <t>CH3CH2CH(C2H5)CH2CH3</t>
  </si>
  <si>
    <t>CH3CH2CHC2H5CH2CH3</t>
  </si>
  <si>
    <t>3-ethylpentan</t>
  </si>
  <si>
    <t>(CH₃)₂CHCH₂C(CH₃)₃</t>
  </si>
  <si>
    <t>(CH3)2CHCH2C(CH3)3</t>
  </si>
  <si>
    <t>CH32CHCH2CCH33</t>
  </si>
  <si>
    <t>isooctan</t>
  </si>
  <si>
    <t>2,2,4-trimethylpentan</t>
  </si>
  <si>
    <t>C₃H₆</t>
  </si>
  <si>
    <t>C3H6</t>
  </si>
  <si>
    <t>cyclopropan</t>
  </si>
  <si>
    <t>C₄H₈</t>
  </si>
  <si>
    <t>C4H8</t>
  </si>
  <si>
    <t>cyclobutan</t>
  </si>
  <si>
    <t>C₅H₁₀</t>
  </si>
  <si>
    <t>C5H10</t>
  </si>
  <si>
    <t>cyclopentan</t>
  </si>
  <si>
    <t>C₆H₁₂</t>
  </si>
  <si>
    <t>C6H12</t>
  </si>
  <si>
    <t>cyclohexan</t>
  </si>
  <si>
    <t>C₆H₁₁CH₃</t>
  </si>
  <si>
    <t>C6H11CH3</t>
  </si>
  <si>
    <t>methylcyclohexan</t>
  </si>
  <si>
    <t>(CH₃)₂C₆H₁₀</t>
  </si>
  <si>
    <t>(CH3)2C6H10</t>
  </si>
  <si>
    <t>CH32C6H10</t>
  </si>
  <si>
    <t>1,1-dimethylcyclohexan</t>
  </si>
  <si>
    <t>cis-1,2-dimethylcyclohexan</t>
  </si>
  <si>
    <t>trans-1,2-dimethylcyclohexan</t>
  </si>
  <si>
    <t>cis-1,3-dimethylcyclohexan</t>
  </si>
  <si>
    <t>trans-1,3-dimethylcyclohexan</t>
  </si>
  <si>
    <t>cis-1,4-dimethylcyclohexan</t>
  </si>
  <si>
    <t>trans-1,4-dimethylcyclohexan</t>
  </si>
  <si>
    <t>CH₂=CH₂</t>
  </si>
  <si>
    <t>CH2=CH2</t>
  </si>
  <si>
    <t>ethylen</t>
  </si>
  <si>
    <t>ethen</t>
  </si>
  <si>
    <t>CH₂=CHCH₃</t>
  </si>
  <si>
    <t>CH2=CHCH3</t>
  </si>
  <si>
    <t>propylen</t>
  </si>
  <si>
    <t>propen</t>
  </si>
  <si>
    <t>CH₂=C=CH₂</t>
  </si>
  <si>
    <t>CH2=C=CH2</t>
  </si>
  <si>
    <t>allen</t>
  </si>
  <si>
    <t>propadien</t>
  </si>
  <si>
    <t>C₃H₄</t>
  </si>
  <si>
    <t>C3H4</t>
  </si>
  <si>
    <t>cyclopropen</t>
  </si>
  <si>
    <t>C₄H₆</t>
  </si>
  <si>
    <t>C4H6</t>
  </si>
  <si>
    <t>cyclobuten</t>
  </si>
  <si>
    <t>CH₂=C=CHCH₃</t>
  </si>
  <si>
    <t>CH2=C=CHCH3</t>
  </si>
  <si>
    <t>buta-1,2-dien</t>
  </si>
  <si>
    <t>CH₂=CHCH=CH₂</t>
  </si>
  <si>
    <t>CH2=CHCH=CH2</t>
  </si>
  <si>
    <t>buta-1,3-dien</t>
  </si>
  <si>
    <t>CH₂=CHCH₂CH₃</t>
  </si>
  <si>
    <t>CH2=CHCH2CH3</t>
  </si>
  <si>
    <t>but-1-en</t>
  </si>
  <si>
    <t>CH₃CH=CHCH₃</t>
  </si>
  <si>
    <t>CH3CH=CHCH3</t>
  </si>
  <si>
    <t>(Z)-but-2-en</t>
  </si>
  <si>
    <t>(E)-but-2-en</t>
  </si>
  <si>
    <t>CH₂=C(CH₃)CH=CH₂</t>
  </si>
  <si>
    <t>CH2=C(CH3)CH=CH2</t>
  </si>
  <si>
    <t>CH2=CCH3CH=CH2</t>
  </si>
  <si>
    <t>isopren</t>
  </si>
  <si>
    <t>2-methylbuta-1,3-dien</t>
  </si>
  <si>
    <t>CH₂=C=C(CH₃)₂</t>
  </si>
  <si>
    <t>CH2=C=C(CH3)2</t>
  </si>
  <si>
    <t>CH2=C=CCH32</t>
  </si>
  <si>
    <t>3-methylbuta-1,2-dien</t>
  </si>
  <si>
    <t>CH₂=CH(CH₂)₂CH₃</t>
  </si>
  <si>
    <t>CH2=CH(CH2)2CH3</t>
  </si>
  <si>
    <t>CH2=CHCH22CH3</t>
  </si>
  <si>
    <t>pent-1-en</t>
  </si>
  <si>
    <t>C₆H₈</t>
  </si>
  <si>
    <t>C6H8</t>
  </si>
  <si>
    <t>cyclohexa-1,3-dien</t>
  </si>
  <si>
    <t>cyclohexa-1,2-dien</t>
  </si>
  <si>
    <t>C₆H₁₀</t>
  </si>
  <si>
    <t>C6H10</t>
  </si>
  <si>
    <t>cyclohexen</t>
  </si>
  <si>
    <t>C₁₀H₁₆</t>
  </si>
  <si>
    <t>C10H16</t>
  </si>
  <si>
    <t>α-pinen</t>
  </si>
  <si>
    <t>β-pinen</t>
  </si>
  <si>
    <t>C₄₀H₅₆</t>
  </si>
  <si>
    <t>C40H56</t>
  </si>
  <si>
    <t>caroten</t>
  </si>
  <si>
    <t>C₂H₂</t>
  </si>
  <si>
    <t>C2H2</t>
  </si>
  <si>
    <t>acetylen</t>
  </si>
  <si>
    <t>ethyn</t>
  </si>
  <si>
    <t>227,4</t>
  </si>
  <si>
    <t>HC≡CH</t>
  </si>
  <si>
    <t>211,46</t>
  </si>
  <si>
    <t>HC≡CCH₃</t>
  </si>
  <si>
    <t>HC≡CCH3</t>
  </si>
  <si>
    <t>propyn</t>
  </si>
  <si>
    <t>184,9</t>
  </si>
  <si>
    <t>HC≡CCH₂CH₃</t>
  </si>
  <si>
    <t>HC≡CCH2CH3</t>
  </si>
  <si>
    <t>but-1-yn</t>
  </si>
  <si>
    <t>165,2</t>
  </si>
  <si>
    <t>CH₃C≡CCH₃</t>
  </si>
  <si>
    <t>CH3C≡CCH3</t>
  </si>
  <si>
    <t>but-2-yn</t>
  </si>
  <si>
    <t>144,7</t>
  </si>
  <si>
    <t>HC≡C-C≡CH</t>
  </si>
  <si>
    <t>buta-1,3-diyn</t>
  </si>
  <si>
    <t>146,31</t>
  </si>
  <si>
    <t>HC≡C(CH₂)₂CH₃</t>
  </si>
  <si>
    <t>HC≡C(CH2)2CH3</t>
  </si>
  <si>
    <t>HC≡CCH22CH3</t>
  </si>
  <si>
    <t>pent-1-yn</t>
  </si>
  <si>
    <t>144,35</t>
  </si>
  <si>
    <t>C₆H₆</t>
  </si>
  <si>
    <t>C6H6</t>
  </si>
  <si>
    <t>benzen</t>
  </si>
  <si>
    <t>49,1</t>
  </si>
  <si>
    <t>82,9</t>
  </si>
  <si>
    <t>C₁₀H₈</t>
  </si>
  <si>
    <t>C10H8</t>
  </si>
  <si>
    <t>naphthalen</t>
  </si>
  <si>
    <t>78,5</t>
  </si>
  <si>
    <t>C₁₄H₁₀</t>
  </si>
  <si>
    <t>C14H10</t>
  </si>
  <si>
    <t>anthracen</t>
  </si>
  <si>
    <t>129,2</t>
  </si>
  <si>
    <t>phenanthren</t>
  </si>
  <si>
    <t>116,2</t>
  </si>
  <si>
    <t>C₁₈H₁₂</t>
  </si>
  <si>
    <t>C18H12</t>
  </si>
  <si>
    <t>1,2-benzoanthracen</t>
  </si>
  <si>
    <t>170,8</t>
  </si>
  <si>
    <t>C₂₀H₁₂</t>
  </si>
  <si>
    <t>C20H12</t>
  </si>
  <si>
    <t>benzopyren</t>
  </si>
  <si>
    <t>C₆H₅CH₃</t>
  </si>
  <si>
    <t>C6H5CH3</t>
  </si>
  <si>
    <t>toluen</t>
  </si>
  <si>
    <t>methylbenzen</t>
  </si>
  <si>
    <t>12,4</t>
  </si>
  <si>
    <t>50,5</t>
  </si>
  <si>
    <t>C₆H₅CH=CH₂</t>
  </si>
  <si>
    <t>C6H5CH=CH2</t>
  </si>
  <si>
    <t>styren</t>
  </si>
  <si>
    <t>ethenylbenzen</t>
  </si>
  <si>
    <t>103,8</t>
  </si>
  <si>
    <t>147,9</t>
  </si>
  <si>
    <t>C₆H₄(CH₃)₂</t>
  </si>
  <si>
    <t>C6H4(CH3)2</t>
  </si>
  <si>
    <t>C6H4CH32</t>
  </si>
  <si>
    <t>o-xylen</t>
  </si>
  <si>
    <t>1,2-dimethylbenzen</t>
  </si>
  <si>
    <t>-24,4</t>
  </si>
  <si>
    <t>19,1</t>
  </si>
  <si>
    <t>m-xylen</t>
  </si>
  <si>
    <t>1,3-dimethylbenzen</t>
  </si>
  <si>
    <t>-25,4</t>
  </si>
  <si>
    <t>17,3</t>
  </si>
  <si>
    <t>p-xylen</t>
  </si>
  <si>
    <t>1,4-dimethylbenzen</t>
  </si>
  <si>
    <t>18,0</t>
  </si>
  <si>
    <t>C₆H₅CH₂CH₃</t>
  </si>
  <si>
    <t>C6H5CH2CH3</t>
  </si>
  <si>
    <t>ethylbenzen</t>
  </si>
  <si>
    <t>-12,3</t>
  </si>
  <si>
    <t>29,9</t>
  </si>
  <si>
    <t>C₆H₅CH(CH₃)₂</t>
  </si>
  <si>
    <t>C6H5CH(CH3)2</t>
  </si>
  <si>
    <t>C6H5CHCH32</t>
  </si>
  <si>
    <t>(1-methylethyl)benzen</t>
  </si>
  <si>
    <t>-41,1</t>
  </si>
  <si>
    <t>4,0</t>
  </si>
  <si>
    <t>C₆H₅-C₆H₅</t>
  </si>
  <si>
    <t>C6H5-C6H5</t>
  </si>
  <si>
    <t>biphenyl</t>
  </si>
  <si>
    <t>99,4</t>
  </si>
  <si>
    <t>119,24</t>
  </si>
  <si>
    <t>CH₃Cl</t>
  </si>
  <si>
    <t>CH3Cl</t>
  </si>
  <si>
    <t>chlormethan</t>
  </si>
  <si>
    <t>-81,9</t>
  </si>
  <si>
    <t>CHCl=CH₂</t>
  </si>
  <si>
    <t>CHCl=CH2</t>
  </si>
  <si>
    <t>vinylchlorid</t>
  </si>
  <si>
    <t>chlorethen</t>
  </si>
  <si>
    <t>37,2</t>
  </si>
  <si>
    <t>CH₃CH₂Cl</t>
  </si>
  <si>
    <t>CH3CH2Cl</t>
  </si>
  <si>
    <t>chlorethan</t>
  </si>
  <si>
    <t>-112,1</t>
  </si>
  <si>
    <t>CH₃CH₂CH₂Cl</t>
  </si>
  <si>
    <t>CH3CH2CH2Cl</t>
  </si>
  <si>
    <t>1-chlorpropan</t>
  </si>
  <si>
    <t>-131,9</t>
  </si>
  <si>
    <t>CH₃CHClCH₃</t>
  </si>
  <si>
    <t>CH3CHClCH3</t>
  </si>
  <si>
    <t>2-chlorpropan</t>
  </si>
  <si>
    <t>-144,9</t>
  </si>
  <si>
    <t>CH₂Cl₂</t>
  </si>
  <si>
    <t>CH2Cl2</t>
  </si>
  <si>
    <t>dichlormethan</t>
  </si>
  <si>
    <t>-95,40</t>
  </si>
  <si>
    <t>-124,2</t>
  </si>
  <si>
    <t>CH₃(CH₂)₂CH₂Cl</t>
  </si>
  <si>
    <t>CH3(CH2)2CH2Cl</t>
  </si>
  <si>
    <t>CH3CH22CH2Cl</t>
  </si>
  <si>
    <t>1-chlorbutan</t>
  </si>
  <si>
    <t>-144,4</t>
  </si>
  <si>
    <t>CH₃CH₂CHClCH₃</t>
  </si>
  <si>
    <t>CH3CH2CHClCH3</t>
  </si>
  <si>
    <t>2-chlorbutan</t>
  </si>
  <si>
    <t>-161,1</t>
  </si>
  <si>
    <t>(CH₃)₂CHCH₂Cl</t>
  </si>
  <si>
    <t>(CH3)2CHCH2Cl</t>
  </si>
  <si>
    <t>CH32CHCH2Cl</t>
  </si>
  <si>
    <t>1-chlor-2-methylpropan</t>
  </si>
  <si>
    <t>-159,3</t>
  </si>
  <si>
    <t>(CH₃)₃CCl</t>
  </si>
  <si>
    <t>(CH3)3CCl</t>
  </si>
  <si>
    <t>CH33CCl</t>
  </si>
  <si>
    <t>2-chlor-2-methylpropan</t>
  </si>
  <si>
    <t>-182,2</t>
  </si>
  <si>
    <t>CH₂=CCl₂</t>
  </si>
  <si>
    <t>CH2=CCl2</t>
  </si>
  <si>
    <t>1,1-dichlorethen</t>
  </si>
  <si>
    <t>-26,27</t>
  </si>
  <si>
    <t>CHCl=CHCl</t>
  </si>
  <si>
    <t>(Z)-1,2-dichlorethen</t>
  </si>
  <si>
    <t>-23,9</t>
  </si>
  <si>
    <t>2,8</t>
  </si>
  <si>
    <t>(E)-1,2-dichlorethen</t>
  </si>
  <si>
    <t>4,6</t>
  </si>
  <si>
    <t>CH₃CHCl₂</t>
  </si>
  <si>
    <t>CH3CHCl2</t>
  </si>
  <si>
    <t>1,1-dichlorethan</t>
  </si>
  <si>
    <t>-158,4</t>
  </si>
  <si>
    <t>CH₂ClCH₂Cl</t>
  </si>
  <si>
    <t>CH2ClCH2Cl</t>
  </si>
  <si>
    <t>1,2-dichlorethan</t>
  </si>
  <si>
    <t>-166,8</t>
  </si>
  <si>
    <t>C₆H₅Cl</t>
  </si>
  <si>
    <t>C6H5Cl</t>
  </si>
  <si>
    <t>chlorbenzen</t>
  </si>
  <si>
    <t>11,1</t>
  </si>
  <si>
    <t>CHCl₃</t>
  </si>
  <si>
    <t>CHCl3</t>
  </si>
  <si>
    <t>chloroform</t>
  </si>
  <si>
    <t>trichlormethan</t>
  </si>
  <si>
    <t>-134,1</t>
  </si>
  <si>
    <t>-102,7</t>
  </si>
  <si>
    <t>CCl₂=CHCl</t>
  </si>
  <si>
    <t>CCl2=CHCl</t>
  </si>
  <si>
    <t>1,1,2-trichlorethen</t>
  </si>
  <si>
    <t>-9,0</t>
  </si>
  <si>
    <t>CH₃CCl₃</t>
  </si>
  <si>
    <t>CH3CCl3</t>
  </si>
  <si>
    <t>1,1,1-trichlorethan</t>
  </si>
  <si>
    <t>CH₂ClCHCl₂</t>
  </si>
  <si>
    <t>CH2ClCHCl2</t>
  </si>
  <si>
    <t>1,1,2-trichlorethan</t>
  </si>
  <si>
    <t>-151,3</t>
  </si>
  <si>
    <t>C₆H₄Cl₂</t>
  </si>
  <si>
    <t>C6H4Cl2</t>
  </si>
  <si>
    <t>1,2-dichlorbenzen</t>
  </si>
  <si>
    <t>30,2</t>
  </si>
  <si>
    <t>1,3-dichlorbenzen</t>
  </si>
  <si>
    <t>25,7</t>
  </si>
  <si>
    <t>1,4-dichlorbenzen</t>
  </si>
  <si>
    <t>22,5</t>
  </si>
  <si>
    <t>CCl₄</t>
  </si>
  <si>
    <t>CCl4</t>
  </si>
  <si>
    <t>tetrachlormethan</t>
  </si>
  <si>
    <t>-128,2</t>
  </si>
  <si>
    <t>-95,7</t>
  </si>
  <si>
    <t>CCl₃CCl₃</t>
  </si>
  <si>
    <t>CCl3CCl3</t>
  </si>
  <si>
    <t>hexachlorethan</t>
  </si>
  <si>
    <t>-143,6</t>
  </si>
  <si>
    <t>C₆Cl₆</t>
  </si>
  <si>
    <t>C6Cl6</t>
  </si>
  <si>
    <t>hexachlorbenzen</t>
  </si>
  <si>
    <t>-127,6</t>
  </si>
  <si>
    <t>-33,89</t>
  </si>
  <si>
    <t>C₆H₆Cl₆</t>
  </si>
  <si>
    <t>C6H6Cl6</t>
  </si>
  <si>
    <t>lindan</t>
  </si>
  <si>
    <t>1,2,3,4,5,6-hexachlorcyclohexan</t>
  </si>
  <si>
    <t>C₁₄H₉Cl₅</t>
  </si>
  <si>
    <t>C14H9Cl5</t>
  </si>
  <si>
    <t>DDT</t>
  </si>
  <si>
    <t>1,1,1-trichlor-2,2-bis(4-chlorphenyl)ethan</t>
  </si>
  <si>
    <t>CHClF₂</t>
  </si>
  <si>
    <t>CHClF2</t>
  </si>
  <si>
    <t>cfc22</t>
  </si>
  <si>
    <t>chlordifluormethan</t>
  </si>
  <si>
    <t>-482,6</t>
  </si>
  <si>
    <t>CF₄</t>
  </si>
  <si>
    <t>CF4</t>
  </si>
  <si>
    <t>cfc14</t>
  </si>
  <si>
    <t>tetrafluormethan</t>
  </si>
  <si>
    <t>-933,6</t>
  </si>
  <si>
    <t>CF₂=CF₂</t>
  </si>
  <si>
    <t>CF2=CF2</t>
  </si>
  <si>
    <t>tetrafluorethen</t>
  </si>
  <si>
    <t>-658,66</t>
  </si>
  <si>
    <t>CHCl₂F</t>
  </si>
  <si>
    <t>CHCl2F</t>
  </si>
  <si>
    <t>cfc21</t>
  </si>
  <si>
    <t>dichlorfluormethan</t>
  </si>
  <si>
    <t>-284,93</t>
  </si>
  <si>
    <t>CClF₃</t>
  </si>
  <si>
    <t>CClF3</t>
  </si>
  <si>
    <t>cfc13</t>
  </si>
  <si>
    <t>chlortrifluormethan</t>
  </si>
  <si>
    <t>-706,3</t>
  </si>
  <si>
    <t>CCl₂F₂</t>
  </si>
  <si>
    <t>CCl2F2</t>
  </si>
  <si>
    <t>cfc12</t>
  </si>
  <si>
    <t>dichlordifluormethan</t>
  </si>
  <si>
    <t>-477,4</t>
  </si>
  <si>
    <t>CF₃CHCl₂</t>
  </si>
  <si>
    <t>CF3CHCl2</t>
  </si>
  <si>
    <t>cfc123</t>
  </si>
  <si>
    <t>2,2-dichlor-1,1,1-trifluorethan</t>
  </si>
  <si>
    <t>CFCl₂CFCl₂</t>
  </si>
  <si>
    <t>CFCl2CFCl2</t>
  </si>
  <si>
    <t>cfc122</t>
  </si>
  <si>
    <t>1,1,2,2-tetrachlor-1,2-difluorethan</t>
  </si>
  <si>
    <t>CH₃Br</t>
  </si>
  <si>
    <t>CH3Br</t>
  </si>
  <si>
    <t>brommethan</t>
  </si>
  <si>
    <t>-35,4</t>
  </si>
  <si>
    <t>CH₃CH₂Br</t>
  </si>
  <si>
    <t>CH3CH2Br</t>
  </si>
  <si>
    <t>bromethan</t>
  </si>
  <si>
    <t>-61,9</t>
  </si>
  <si>
    <t>CH₃CH₂CH₂Br</t>
  </si>
  <si>
    <t>CH3CH2CH2Br</t>
  </si>
  <si>
    <t>1-brompropan</t>
  </si>
  <si>
    <t>-87,0</t>
  </si>
  <si>
    <t>CH₃CHBrCH₃</t>
  </si>
  <si>
    <t>CH3CHBrCH3</t>
  </si>
  <si>
    <t>2-brompropan</t>
  </si>
  <si>
    <t>-99,4</t>
  </si>
  <si>
    <t>(CH₃)₃CBr</t>
  </si>
  <si>
    <t>(CH3)3CBr</t>
  </si>
  <si>
    <t>CH33CBr</t>
  </si>
  <si>
    <t>2-brom-2-methylpropan</t>
  </si>
  <si>
    <t>-133,89</t>
  </si>
  <si>
    <t>(CH₃)₂CHCH₂Br</t>
  </si>
  <si>
    <t>(CH3)2CHCH2Br</t>
  </si>
  <si>
    <t>CH32CHCH2Br</t>
  </si>
  <si>
    <t>1-brom-2-methylpropan</t>
  </si>
  <si>
    <t>CH₃(CH₂)₂CH₂Br</t>
  </si>
  <si>
    <t>CH3(CH2)2CH2Br</t>
  </si>
  <si>
    <t>CH3CH22CH2Br</t>
  </si>
  <si>
    <t>1-brombutan</t>
  </si>
  <si>
    <t>-107,32</t>
  </si>
  <si>
    <t>CH₃CH₂CHBrCH₃</t>
  </si>
  <si>
    <t>CH3CH2CHBrCH3</t>
  </si>
  <si>
    <t>2-brombutan</t>
  </si>
  <si>
    <t>-120,08</t>
  </si>
  <si>
    <t>-155,64</t>
  </si>
  <si>
    <t>C₆H₅Br</t>
  </si>
  <si>
    <t>C6H5Br</t>
  </si>
  <si>
    <t>brombenzen</t>
  </si>
  <si>
    <t>60,9</t>
  </si>
  <si>
    <t>CH₂Br₂</t>
  </si>
  <si>
    <t>CH2Br2</t>
  </si>
  <si>
    <t>dibrommethan</t>
  </si>
  <si>
    <t>-14,77</t>
  </si>
  <si>
    <t>CHBr=CHBr</t>
  </si>
  <si>
    <t>(Z)-1,2-dibromethen</t>
  </si>
  <si>
    <t>(E)-1,2-dibromethen</t>
  </si>
  <si>
    <t>CH₃CHBr₂</t>
  </si>
  <si>
    <t>CH3CHBr2</t>
  </si>
  <si>
    <t>1,1-dibromethan</t>
  </si>
  <si>
    <t>-66,2</t>
  </si>
  <si>
    <t>CH₂BrCH₂Br</t>
  </si>
  <si>
    <t>CH2BrCH2Br</t>
  </si>
  <si>
    <t>1,2-dibromethan</t>
  </si>
  <si>
    <t>-79,2</t>
  </si>
  <si>
    <t>C₆H₄Br₂</t>
  </si>
  <si>
    <t>C6H4Br2</t>
  </si>
  <si>
    <t>1,2-dibrombenzen</t>
  </si>
  <si>
    <t>1,3-dibrombenzen</t>
  </si>
  <si>
    <t>1,4-dibrombenzen</t>
  </si>
  <si>
    <t>CHBr₃</t>
  </si>
  <si>
    <t>CHBr3</t>
  </si>
  <si>
    <t>bromoform</t>
  </si>
  <si>
    <t>tribrommethan</t>
  </si>
  <si>
    <t>23,8</t>
  </si>
  <si>
    <t>CBr₄</t>
  </si>
  <si>
    <t>CBr4</t>
  </si>
  <si>
    <t>tetrabrommethan</t>
  </si>
  <si>
    <t>83,9</t>
  </si>
  <si>
    <t>CHBr₂CHBr₂</t>
  </si>
  <si>
    <t>CHBr2CHBr2</t>
  </si>
  <si>
    <t>1,1,2,2-tetrabromethan</t>
  </si>
  <si>
    <t>CH₃I</t>
  </si>
  <si>
    <t>CH3I</t>
  </si>
  <si>
    <t>iodmethan</t>
  </si>
  <si>
    <t>-13,6</t>
  </si>
  <si>
    <t>14,4</t>
  </si>
  <si>
    <t>CH₃CH₂I</t>
  </si>
  <si>
    <t>CH3CH2I</t>
  </si>
  <si>
    <t>iodethan</t>
  </si>
  <si>
    <t>-40,17</t>
  </si>
  <si>
    <t>-8,37</t>
  </si>
  <si>
    <t>CH₃CH₂CHI</t>
  </si>
  <si>
    <t>CH3CH2CHI</t>
  </si>
  <si>
    <t>1-iodpropan</t>
  </si>
  <si>
    <t>-30,0</t>
  </si>
  <si>
    <t>CH₃CHICH₃</t>
  </si>
  <si>
    <t>CH3CHICH3</t>
  </si>
  <si>
    <t>2-iodpropan</t>
  </si>
  <si>
    <t>-40,3</t>
  </si>
  <si>
    <t>CH₃(CH₂)₂CH₂I</t>
  </si>
  <si>
    <t>CH3(CH2)2CH2I</t>
  </si>
  <si>
    <t>CH3CH22CH2I</t>
  </si>
  <si>
    <t>1-iodbutan</t>
  </si>
  <si>
    <t>CH₃CH₂CHICH₃</t>
  </si>
  <si>
    <t>CH3CH2CHICH3</t>
  </si>
  <si>
    <t>2-iodbutan</t>
  </si>
  <si>
    <t>(CH₃)₃CI</t>
  </si>
  <si>
    <t>(CH3)3CI</t>
  </si>
  <si>
    <t>CH33CI</t>
  </si>
  <si>
    <t>2-iod-2-methylpropan</t>
  </si>
  <si>
    <t>-72,1</t>
  </si>
  <si>
    <t>C₆H₅I</t>
  </si>
  <si>
    <t>C6H5I</t>
  </si>
  <si>
    <t>iodbenzen</t>
  </si>
  <si>
    <t>117,2</t>
  </si>
  <si>
    <t>CH₂I₂</t>
  </si>
  <si>
    <t>CH2I2</t>
  </si>
  <si>
    <t>diiodmethan</t>
  </si>
  <si>
    <t>119,5</t>
  </si>
  <si>
    <t>CHI₂CH₃</t>
  </si>
  <si>
    <t>CHI2CH3</t>
  </si>
  <si>
    <t>1,1-diiodethan</t>
  </si>
  <si>
    <t>CH₂ICH₂I</t>
  </si>
  <si>
    <t>CH2ICH2I</t>
  </si>
  <si>
    <t>1,2-diiodethan</t>
  </si>
  <si>
    <t>75,0</t>
  </si>
  <si>
    <t>CHI₃</t>
  </si>
  <si>
    <t>CHI3</t>
  </si>
  <si>
    <t>iodoform</t>
  </si>
  <si>
    <t>triiodmethan</t>
  </si>
  <si>
    <t>251,0</t>
  </si>
  <si>
    <t>CI₄</t>
  </si>
  <si>
    <t>CI4</t>
  </si>
  <si>
    <t>tetraiodmethan</t>
  </si>
  <si>
    <t>262,92</t>
  </si>
  <si>
    <t>CH₃NH₂</t>
  </si>
  <si>
    <t>CH3NH2</t>
  </si>
  <si>
    <t>methylamin</t>
  </si>
  <si>
    <t>methanamin</t>
  </si>
  <si>
    <t>-22,5</t>
  </si>
  <si>
    <t>-70,17</t>
  </si>
  <si>
    <t>(CH₃)₂NH</t>
  </si>
  <si>
    <t>(CH3)2NH</t>
  </si>
  <si>
    <t>CH32NH</t>
  </si>
  <si>
    <t>dimethylamin</t>
  </si>
  <si>
    <t>-18,8</t>
  </si>
  <si>
    <t>-70,63</t>
  </si>
  <si>
    <t>CH₃CH₂NH₂</t>
  </si>
  <si>
    <t>CH3CH2NH2</t>
  </si>
  <si>
    <t>ethanamin</t>
  </si>
  <si>
    <t>-47,5</t>
  </si>
  <si>
    <t>(CH₃)₂NH₂⁺</t>
  </si>
  <si>
    <t>(CH3)2NH2+</t>
  </si>
  <si>
    <t>CH32NH2+</t>
  </si>
  <si>
    <t>dimethylammonium</t>
  </si>
  <si>
    <t>-120,25</t>
  </si>
  <si>
    <t>(CH₃)₃N</t>
  </si>
  <si>
    <t>(CH3)3N</t>
  </si>
  <si>
    <t>CH33N</t>
  </si>
  <si>
    <t>trimethylamin</t>
  </si>
  <si>
    <t>-23,6</t>
  </si>
  <si>
    <t>-76,02</t>
  </si>
  <si>
    <t>CH₃CH₂CH₂NH₂</t>
  </si>
  <si>
    <t>CH3CH2CH2NH2</t>
  </si>
  <si>
    <t>propan-1-amin</t>
  </si>
  <si>
    <t>-70,1</t>
  </si>
  <si>
    <t>CH₃CH(NH₂)CH₃</t>
  </si>
  <si>
    <t>CH3CH(NH2)CH3</t>
  </si>
  <si>
    <t>CH3CHNH2CH3</t>
  </si>
  <si>
    <t>propan-2-amin</t>
  </si>
  <si>
    <t>-83,7</t>
  </si>
  <si>
    <t>H₂N(CH₂)₂NH₂</t>
  </si>
  <si>
    <t>H2N(CH2)2NH2</t>
  </si>
  <si>
    <t>H2NCH22NH2</t>
  </si>
  <si>
    <t>ethan-1,2-diamin</t>
  </si>
  <si>
    <t>63,0</t>
  </si>
  <si>
    <t>(CH₃CH₂)₂NH</t>
  </si>
  <si>
    <t>(CH3CH2)2NH</t>
  </si>
  <si>
    <t>CH3CH22NH</t>
  </si>
  <si>
    <t>diethylamin</t>
  </si>
  <si>
    <t>-72,2</t>
  </si>
  <si>
    <t>H₂N(CH₂)₃NH₂</t>
  </si>
  <si>
    <t>H2N(CH2)3NH2</t>
  </si>
  <si>
    <t>H2NCH23NH2</t>
  </si>
  <si>
    <t>propan-1,3-diamin</t>
  </si>
  <si>
    <t>C₅H₅N</t>
  </si>
  <si>
    <t>C5H5N</t>
  </si>
  <si>
    <t>pyridin</t>
  </si>
  <si>
    <t>100,2</t>
  </si>
  <si>
    <t>140,4</t>
  </si>
  <si>
    <t>H₂N(CH₂)₄NH₂</t>
  </si>
  <si>
    <t>H2N(CH2)4NH2</t>
  </si>
  <si>
    <t>H2NCH24NH2</t>
  </si>
  <si>
    <t>butan-1,4-diamin</t>
  </si>
  <si>
    <t>C₆H₅NH₂</t>
  </si>
  <si>
    <t>C6H5NH2</t>
  </si>
  <si>
    <t>anilin</t>
  </si>
  <si>
    <t>benzenamin</t>
  </si>
  <si>
    <t>31,6</t>
  </si>
  <si>
    <t>87,5</t>
  </si>
  <si>
    <t>(CH₃CH₂)₃N</t>
  </si>
  <si>
    <t>(CH3CH2)3N</t>
  </si>
  <si>
    <t>CH3CH23N</t>
  </si>
  <si>
    <t>triethylamin</t>
  </si>
  <si>
    <t>-92,7</t>
  </si>
  <si>
    <t>CH₃C₆H₄NH₂</t>
  </si>
  <si>
    <t>CH3C6H4NH2</t>
  </si>
  <si>
    <t>2-methylbenzenamin</t>
  </si>
  <si>
    <t>3-methylbenzenamin</t>
  </si>
  <si>
    <t>4-methylbenzenamin</t>
  </si>
  <si>
    <t>C₆H₅NHCH₃</t>
  </si>
  <si>
    <t>C6H5NHCH3</t>
  </si>
  <si>
    <t>n-methyl-benzenamin</t>
  </si>
  <si>
    <t>C₆H₅NHNH₂</t>
  </si>
  <si>
    <t>C6H5NHNH2</t>
  </si>
  <si>
    <t>phenylhydrazin</t>
  </si>
  <si>
    <t>141,0</t>
  </si>
  <si>
    <t>(CH₃)₄NCl</t>
  </si>
  <si>
    <t>(CH3)4NCl</t>
  </si>
  <si>
    <t>CH34NCl</t>
  </si>
  <si>
    <t>tetramethylammoniumchlorid</t>
  </si>
  <si>
    <t>N(CH₂CH₂)₃N</t>
  </si>
  <si>
    <t>N(CH2CH2)3N</t>
  </si>
  <si>
    <t>NCH2CH23N</t>
  </si>
  <si>
    <t>1,4-diazabicyclo(2,2,2)-octan</t>
  </si>
  <si>
    <t>DABCO</t>
  </si>
  <si>
    <t>-14,23</t>
  </si>
  <si>
    <t>H₂N(CH₂)₆NH₂</t>
  </si>
  <si>
    <t>H2N(CH2)6NH2</t>
  </si>
  <si>
    <t>H2NCH26NH2</t>
  </si>
  <si>
    <t>hexan-1,6-diamin</t>
  </si>
  <si>
    <t>-205,0</t>
  </si>
  <si>
    <t>C₆H₅N(CH₃)₂</t>
  </si>
  <si>
    <t>C6H5N(CH3)2</t>
  </si>
  <si>
    <t>C6H5NCH32</t>
  </si>
  <si>
    <t>n,n-dimethylbenzenamin</t>
  </si>
  <si>
    <t>56,3</t>
  </si>
  <si>
    <t>C₆H₅NH₃Cl</t>
  </si>
  <si>
    <t>C6H5NH3Cl</t>
  </si>
  <si>
    <t>aniliniumchlorid</t>
  </si>
  <si>
    <t>C₆H₅CH₂CH(NH₂)CH₃</t>
  </si>
  <si>
    <t>C6H5CH2CH(NH2)CH3</t>
  </si>
  <si>
    <t>C6H5CH2CHNH2CH3</t>
  </si>
  <si>
    <t>1-phenylpropan-2-amin</t>
  </si>
  <si>
    <t>amphetamin</t>
  </si>
  <si>
    <t>C₁₀H₁₅N</t>
  </si>
  <si>
    <t>C10H15N</t>
  </si>
  <si>
    <t>methamphetamin</t>
  </si>
  <si>
    <t>C₁₀H₁₄N₂</t>
  </si>
  <si>
    <t>C10H14N2</t>
  </si>
  <si>
    <t>3-[(2s)-1-methylpyrrolidin-2-yl]pyridin</t>
  </si>
  <si>
    <t>nicotin</t>
  </si>
  <si>
    <t>39,33</t>
  </si>
  <si>
    <t>C₅H₄N₄O₃</t>
  </si>
  <si>
    <t>C5H4N4O3</t>
  </si>
  <si>
    <t>urinsyre</t>
  </si>
  <si>
    <t>-618,8</t>
  </si>
  <si>
    <t>(C₆H₅)₂NH</t>
  </si>
  <si>
    <t>(C6H5)2NH</t>
  </si>
  <si>
    <t>C6H52NH</t>
  </si>
  <si>
    <t>diphenylamin</t>
  </si>
  <si>
    <t>130,2</t>
  </si>
  <si>
    <t>(C₆H₅)₃N</t>
  </si>
  <si>
    <t>(C6H5)3N</t>
  </si>
  <si>
    <t>C6H53N</t>
  </si>
  <si>
    <t>triphenylamin</t>
  </si>
  <si>
    <t>245,7</t>
  </si>
  <si>
    <t>C₆H₅N=NC₆H₅</t>
  </si>
  <si>
    <t>C6H5N=NC6H5</t>
  </si>
  <si>
    <t>cis-1,2-diphenyldiazen</t>
  </si>
  <si>
    <t>362,75</t>
  </si>
  <si>
    <t>CH₃NHCH₂CHOHC₆H₃(OH)₂</t>
  </si>
  <si>
    <t>CH3NHCH2CHOHC6H3(OH)2</t>
  </si>
  <si>
    <t>CH3NHCH2CHOHC6H3OH2</t>
  </si>
  <si>
    <t>ephinephrin</t>
  </si>
  <si>
    <t>adrenalin</t>
  </si>
  <si>
    <t>H₂N-C₆H₅-C₆H₅-NH₂</t>
  </si>
  <si>
    <t>H2N-C6H5-C6H5-NH2</t>
  </si>
  <si>
    <t>biphenyl-4-4'-diamin</t>
  </si>
  <si>
    <t>benzidin</t>
  </si>
  <si>
    <t>70,71</t>
  </si>
  <si>
    <t>C₈H₁₀O₂N₄</t>
  </si>
  <si>
    <t>C8H10O2N4</t>
  </si>
  <si>
    <t>coffein</t>
  </si>
  <si>
    <t>-318,82</t>
  </si>
  <si>
    <t>(HOOC)₂NCH₂CH₂N(CH₂COOH)₂</t>
  </si>
  <si>
    <t>(HOOC)2NCH2CH2N(CH2COOH)2</t>
  </si>
  <si>
    <t>HOOC2NCH2CH2NCH2COOH2</t>
  </si>
  <si>
    <t>EDTA</t>
  </si>
  <si>
    <t>-1759,37</t>
  </si>
  <si>
    <t>C₁₇H₂₁NO₄</t>
  </si>
  <si>
    <t>C17H21NO4</t>
  </si>
  <si>
    <t>cocain</t>
  </si>
  <si>
    <t>C₂₀H₂₄O₂N₂</t>
  </si>
  <si>
    <t>C20H24O2N2</t>
  </si>
  <si>
    <t>quinin</t>
  </si>
  <si>
    <t>-155,22</t>
  </si>
  <si>
    <t>C₄H₇N₃O</t>
  </si>
  <si>
    <t>C4H7N3O</t>
  </si>
  <si>
    <t>creatinin</t>
  </si>
  <si>
    <t>-238,5</t>
  </si>
  <si>
    <t>H₂NC(NH)N(CH₃)CH₂COOH</t>
  </si>
  <si>
    <t>H2NC(NH)N(CH3)CH2COOH</t>
  </si>
  <si>
    <t>H2NCNHNCH3CH2COOH</t>
  </si>
  <si>
    <t>creatin</t>
  </si>
  <si>
    <t>C₄H₅N₃O</t>
  </si>
  <si>
    <t>C4H5N3O</t>
  </si>
  <si>
    <t>cytosin</t>
  </si>
  <si>
    <t>C₄H₄N₂O₂</t>
  </si>
  <si>
    <t>C4H4N2O2</t>
  </si>
  <si>
    <t>uracil</t>
  </si>
  <si>
    <t>-429,4</t>
  </si>
  <si>
    <t>C₅H₆N₂O₂</t>
  </si>
  <si>
    <t>C5H6N2O2</t>
  </si>
  <si>
    <t>thymin</t>
  </si>
  <si>
    <t>-462,8</t>
  </si>
  <si>
    <t>C₅H₅N₅</t>
  </si>
  <si>
    <t>C5H5N5</t>
  </si>
  <si>
    <t>vitaminb4</t>
  </si>
  <si>
    <t>adenin</t>
  </si>
  <si>
    <t>97,11</t>
  </si>
  <si>
    <t>C₅H₆N₅⁺</t>
  </si>
  <si>
    <t>C5H6N5+</t>
  </si>
  <si>
    <t>adeninium</t>
  </si>
  <si>
    <t>C₅H₄N₅⁻</t>
  </si>
  <si>
    <t>C5H4N5-</t>
  </si>
  <si>
    <t>adeninion</t>
  </si>
  <si>
    <t>C₅H₅N₅O</t>
  </si>
  <si>
    <t>C5H5N5O</t>
  </si>
  <si>
    <t>guanin</t>
  </si>
  <si>
    <t>-183,9</t>
  </si>
  <si>
    <t>C₁₀H₁₃O₄N₅</t>
  </si>
  <si>
    <t>C10H13O4N5</t>
  </si>
  <si>
    <t>adenosin</t>
  </si>
  <si>
    <t>C₁₀H₁₄O₇N₅P</t>
  </si>
  <si>
    <t>C10H14O7N5P</t>
  </si>
  <si>
    <t>AMP</t>
  </si>
  <si>
    <t>C₁₀H₁₅O₁₀N₅P₂</t>
  </si>
  <si>
    <t>C10H15O10N5P2</t>
  </si>
  <si>
    <t>ADP</t>
  </si>
  <si>
    <t>C₁₀H₁₆O₁₃N₅P₃</t>
  </si>
  <si>
    <t>C10H16O13N5P3</t>
  </si>
  <si>
    <t>ATP</t>
  </si>
  <si>
    <t>C₁₀H₁₃N₅O₅</t>
  </si>
  <si>
    <t>C10H13N5O5</t>
  </si>
  <si>
    <t>guanosin</t>
  </si>
  <si>
    <t>C₉H₁₃N₃O₅</t>
  </si>
  <si>
    <t>C9H13N3O5</t>
  </si>
  <si>
    <t>cytidin</t>
  </si>
  <si>
    <t>C₉H₁₂N₂O₆</t>
  </si>
  <si>
    <t>C9H12N2O6</t>
  </si>
  <si>
    <t>uridin</t>
  </si>
  <si>
    <t>C₃₆N₇O₁₆P₃S</t>
  </si>
  <si>
    <t>C36N7O16P3S</t>
  </si>
  <si>
    <t>coenzymA</t>
  </si>
  <si>
    <t>C₂₁H₂₈N₇O₁₇P₃</t>
  </si>
  <si>
    <t>C21H28N7O17P3</t>
  </si>
  <si>
    <t>NADP</t>
  </si>
  <si>
    <t>CH₃OH</t>
  </si>
  <si>
    <t>CH3OH</t>
  </si>
  <si>
    <t>træsprit</t>
  </si>
  <si>
    <t>methanol</t>
  </si>
  <si>
    <t>-239,2</t>
  </si>
  <si>
    <t>-201,0</t>
  </si>
  <si>
    <t>-245,94</t>
  </si>
  <si>
    <t>CH₃CH₂OH</t>
  </si>
  <si>
    <t>CH3CH2OH</t>
  </si>
  <si>
    <t>sprit</t>
  </si>
  <si>
    <t>ethanol</t>
  </si>
  <si>
    <t>-277,6</t>
  </si>
  <si>
    <t>-234,8</t>
  </si>
  <si>
    <t>-287,02</t>
  </si>
  <si>
    <t>CH₂=CHCH₂OH</t>
  </si>
  <si>
    <t>CH2=CHCH2OH</t>
  </si>
  <si>
    <t>prop-2-en-1-ol</t>
  </si>
  <si>
    <t>-124,5</t>
  </si>
  <si>
    <t>CH₃CH₂CH₂OH</t>
  </si>
  <si>
    <t>CH3CH2CH2OH</t>
  </si>
  <si>
    <t>propan-1-ol</t>
  </si>
  <si>
    <t>-302,6</t>
  </si>
  <si>
    <t>-255,1</t>
  </si>
  <si>
    <t>CH₃CHOHCH₃</t>
  </si>
  <si>
    <t>CH3CHOHCH3</t>
  </si>
  <si>
    <t>isopropanol</t>
  </si>
  <si>
    <t>propan-2-ol</t>
  </si>
  <si>
    <t>-318,1</t>
  </si>
  <si>
    <t>isopropylalkohol</t>
  </si>
  <si>
    <t>-272,6</t>
  </si>
  <si>
    <t>-330,83</t>
  </si>
  <si>
    <t>NH₂CH₂CH₂OH</t>
  </si>
  <si>
    <t>NH2CH2CH2OH</t>
  </si>
  <si>
    <t>2-aminoethanol</t>
  </si>
  <si>
    <t>CH₂OHCH₂OH</t>
  </si>
  <si>
    <t>CH2OHCH2OH</t>
  </si>
  <si>
    <t>etylenglykol</t>
  </si>
  <si>
    <t>ethan-1,2-diol</t>
  </si>
  <si>
    <t>-460,0</t>
  </si>
  <si>
    <t>(CH₃)₂CHCH₂OH</t>
  </si>
  <si>
    <t>(CH3)2CHCH2OH</t>
  </si>
  <si>
    <t>CH32CHCH2OH</t>
  </si>
  <si>
    <t>isobutanol</t>
  </si>
  <si>
    <t>2-methylpropan-1-ol</t>
  </si>
  <si>
    <t>-334,7</t>
  </si>
  <si>
    <t>(CH₃)₃COH</t>
  </si>
  <si>
    <t>(CH3)3COH</t>
  </si>
  <si>
    <t>CH33COH</t>
  </si>
  <si>
    <t>tert-butanol</t>
  </si>
  <si>
    <t>2-methylpropan-2-ol</t>
  </si>
  <si>
    <t>-359,2</t>
  </si>
  <si>
    <t>CH₃(CH₂)₂CH₂OH</t>
  </si>
  <si>
    <t>CH3(CH2)2CH2OH</t>
  </si>
  <si>
    <t>CH3CH22CH2OH</t>
  </si>
  <si>
    <t>butan-1-ol</t>
  </si>
  <si>
    <t>-327,3</t>
  </si>
  <si>
    <t>CH₃CH₂CHOHCH₃</t>
  </si>
  <si>
    <t>CH3CH2CHOHCH3</t>
  </si>
  <si>
    <t>butan-2-ol</t>
  </si>
  <si>
    <t>-342,6</t>
  </si>
  <si>
    <t>CH₃CHOHCH₂OH</t>
  </si>
  <si>
    <t>CH3CHOHCH2OH</t>
  </si>
  <si>
    <t>propan-1,2-diol</t>
  </si>
  <si>
    <t>-501,0</t>
  </si>
  <si>
    <t>CH₂OHCH₂CH₂OH</t>
  </si>
  <si>
    <t>CH2OHCH2CH2OH</t>
  </si>
  <si>
    <t>propan-1,3-diol</t>
  </si>
  <si>
    <t>-480,8</t>
  </si>
  <si>
    <t>CH₃(CH₂)₃CH₂OH</t>
  </si>
  <si>
    <t>CH3(CH2)3CH2OH</t>
  </si>
  <si>
    <t>CH3CH23CH2OH</t>
  </si>
  <si>
    <t>pentan-1-ol</t>
  </si>
  <si>
    <t>-351,6</t>
  </si>
  <si>
    <t>CH₃(CH₂)₂CHOHCH₃</t>
  </si>
  <si>
    <t>CH3(CH2)2CHOHCH3</t>
  </si>
  <si>
    <t>CH3CH22CHOHCH3</t>
  </si>
  <si>
    <t>pentan-2-ol</t>
  </si>
  <si>
    <t>-365,2</t>
  </si>
  <si>
    <t>(CH₃CH₂)₂CHOH</t>
  </si>
  <si>
    <t>(CH3CH2)2CHOH</t>
  </si>
  <si>
    <t>CH3CH22CHOH</t>
  </si>
  <si>
    <t>pentan-3-ol</t>
  </si>
  <si>
    <t>-368,9</t>
  </si>
  <si>
    <t>CH₃CH₂CH(CH₃)CH₂OH</t>
  </si>
  <si>
    <t>CH3CH2CH(CH3)CH2OH</t>
  </si>
  <si>
    <t>CH3CH2CHCH3CH2OH</t>
  </si>
  <si>
    <t>2-methylbutan-1-ol</t>
  </si>
  <si>
    <t>CH₃CH(CH₃)CH₂CH₂OH</t>
  </si>
  <si>
    <t>CH3CH(CH3)CH2CH2OH</t>
  </si>
  <si>
    <t>CH3CHCH3CH2CH2OH</t>
  </si>
  <si>
    <t>3-methylbutan-1-ol</t>
  </si>
  <si>
    <t>-356,4</t>
  </si>
  <si>
    <t>CH₃CH(CH₃)CHOHCH₃</t>
  </si>
  <si>
    <t>CH3CH(CH3)CHOHCH3</t>
  </si>
  <si>
    <t>CH3CHCH3CHOHCH3</t>
  </si>
  <si>
    <t>3-methylbutan-2-ol</t>
  </si>
  <si>
    <t>366,6</t>
  </si>
  <si>
    <t>CH₃CH₂COH(CH₃)₂</t>
  </si>
  <si>
    <t>CH3CH2COH(CH3)2</t>
  </si>
  <si>
    <t>CH3CH2COHCH32</t>
  </si>
  <si>
    <t>2-methylbutan-2-ol</t>
  </si>
  <si>
    <t>-356,6</t>
  </si>
  <si>
    <t>CH₂OHCHOHCH₂OH</t>
  </si>
  <si>
    <t>CH2OHCHOHCH2OH</t>
  </si>
  <si>
    <t>glycerol</t>
  </si>
  <si>
    <t>propan-1,2,3-triol</t>
  </si>
  <si>
    <t>-669,6</t>
  </si>
  <si>
    <t>-676,55</t>
  </si>
  <si>
    <t>C₆H₁₁OH</t>
  </si>
  <si>
    <t>C6H11OH</t>
  </si>
  <si>
    <t>cyclohexanol</t>
  </si>
  <si>
    <t>-348,2</t>
  </si>
  <si>
    <t>CH₃(CH₂)₄CH₂OH</t>
  </si>
  <si>
    <t>CH3(CH2)4CH2OH</t>
  </si>
  <si>
    <t>CH3CH24CH2OH</t>
  </si>
  <si>
    <t>hexan-1-ol</t>
  </si>
  <si>
    <t>-377,5</t>
  </si>
  <si>
    <t>C₆H₅-CH₂OH</t>
  </si>
  <si>
    <t>C6H5-CH2OH</t>
  </si>
  <si>
    <t>benzylalkohol</t>
  </si>
  <si>
    <t>-160,7</t>
  </si>
  <si>
    <t>C₆H₅OH</t>
  </si>
  <si>
    <t>C6H5OH</t>
  </si>
  <si>
    <t>phenol</t>
  </si>
  <si>
    <t>-165,1</t>
  </si>
  <si>
    <t>-158,16</t>
  </si>
  <si>
    <t>-96,4</t>
  </si>
  <si>
    <t>O=C₆H₄=O</t>
  </si>
  <si>
    <t>O=C6H4=O</t>
  </si>
  <si>
    <t>p-benzoquinon</t>
  </si>
  <si>
    <t>benzen-1,4-quinon</t>
  </si>
  <si>
    <t>-185,7</t>
  </si>
  <si>
    <t>CH₃C₆H₄OH</t>
  </si>
  <si>
    <t>CH3C6H4OH</t>
  </si>
  <si>
    <t>k-cresol</t>
  </si>
  <si>
    <t>2-methylphenol</t>
  </si>
  <si>
    <t>-128,6</t>
  </si>
  <si>
    <t>m-cresol</t>
  </si>
  <si>
    <t>3-methylphenol</t>
  </si>
  <si>
    <t>-132,3</t>
  </si>
  <si>
    <t>p-cresol</t>
  </si>
  <si>
    <t>4-methylphenol</t>
  </si>
  <si>
    <t>-125,4</t>
  </si>
  <si>
    <t>C₆H₄(OH)₂</t>
  </si>
  <si>
    <t>C6H4(OH)2</t>
  </si>
  <si>
    <t>C6H4OH2</t>
  </si>
  <si>
    <t>pyrokatekin</t>
  </si>
  <si>
    <t>1,2-dihydroxybenzen</t>
  </si>
  <si>
    <t>-354,1</t>
  </si>
  <si>
    <t>resorcinol</t>
  </si>
  <si>
    <t>1,3-dihydroxybenzen</t>
  </si>
  <si>
    <t>-368,0</t>
  </si>
  <si>
    <t>hydroquinon</t>
  </si>
  <si>
    <t>1,4-dihydroxybenzen</t>
  </si>
  <si>
    <t>-364,5</t>
  </si>
  <si>
    <t>C₆H₃(OH)₃</t>
  </si>
  <si>
    <t>C6H3(OH)3</t>
  </si>
  <si>
    <t>C6H3OH3</t>
  </si>
  <si>
    <t>1,3,5-trihydroxybenzen</t>
  </si>
  <si>
    <t>-584,6</t>
  </si>
  <si>
    <t>pyrogallol</t>
  </si>
  <si>
    <t>1,2,3-trihydroxybenzen</t>
  </si>
  <si>
    <t>-551,1</t>
  </si>
  <si>
    <t>ClC₆H₄OH</t>
  </si>
  <si>
    <t>ClC6H4OH</t>
  </si>
  <si>
    <t>2-chlorphenol</t>
  </si>
  <si>
    <t>3-chlorphenol</t>
  </si>
  <si>
    <t>-206,4</t>
  </si>
  <si>
    <t>4-chlorphenol</t>
  </si>
  <si>
    <t>-197,7</t>
  </si>
  <si>
    <t>HOC₆H₄NO₂</t>
  </si>
  <si>
    <t>HOC6H4NO2</t>
  </si>
  <si>
    <t>2-nitrophenol</t>
  </si>
  <si>
    <t>3-nitrophenol</t>
  </si>
  <si>
    <t>4-nitrophenol</t>
  </si>
  <si>
    <t>C₁₀H₇OH</t>
  </si>
  <si>
    <t>C10H7OH</t>
  </si>
  <si>
    <t>1-naphthol</t>
  </si>
  <si>
    <t>-30,4</t>
  </si>
  <si>
    <t>2-naphthol</t>
  </si>
  <si>
    <t>-29,9</t>
  </si>
  <si>
    <t>C₁₂H₁₀O₄</t>
  </si>
  <si>
    <t>C12H10O4</t>
  </si>
  <si>
    <t>quinhydron</t>
  </si>
  <si>
    <t>HOC₆H₂(NO₂)₃</t>
  </si>
  <si>
    <t>HOC6H2(NO2)3</t>
  </si>
  <si>
    <t>HOC6H2NO23</t>
  </si>
  <si>
    <t>pikrinsyre</t>
  </si>
  <si>
    <t>2,4,6-trinitrophenol</t>
  </si>
  <si>
    <t>C₂H₄O</t>
  </si>
  <si>
    <t>C2H4O</t>
  </si>
  <si>
    <t>ethylenoxid</t>
  </si>
  <si>
    <t>-52,6</t>
  </si>
  <si>
    <t>(CH₃)₂O</t>
  </si>
  <si>
    <t>(CH3)2O</t>
  </si>
  <si>
    <t>CH32O</t>
  </si>
  <si>
    <t>methoxymethan</t>
  </si>
  <si>
    <t>dimethylether</t>
  </si>
  <si>
    <t>-184,1</t>
  </si>
  <si>
    <t>CH₃OCH₂CH₃</t>
  </si>
  <si>
    <t>CH3OCH2CH3</t>
  </si>
  <si>
    <t>ethoxymethan</t>
  </si>
  <si>
    <t>ethyl(methyl)ether</t>
  </si>
  <si>
    <t>-216,4</t>
  </si>
  <si>
    <t>C₄H₄O</t>
  </si>
  <si>
    <t>C4H4O</t>
  </si>
  <si>
    <t>furan</t>
  </si>
  <si>
    <t>-34,8</t>
  </si>
  <si>
    <t>(CH₂)₄O</t>
  </si>
  <si>
    <t>(CH2)4O</t>
  </si>
  <si>
    <t>CH24O</t>
  </si>
  <si>
    <t>tetrahydrofuran</t>
  </si>
  <si>
    <t>-216,2</t>
  </si>
  <si>
    <t>(CH₃CH₂)₂O</t>
  </si>
  <si>
    <t>(CH3CH2)2O</t>
  </si>
  <si>
    <t>CH3CH22O</t>
  </si>
  <si>
    <t>æter</t>
  </si>
  <si>
    <t>diethylether</t>
  </si>
  <si>
    <t>-279,5</t>
  </si>
  <si>
    <t>-252,1</t>
  </si>
  <si>
    <t>CH₃(CH₂)₂OCH₃</t>
  </si>
  <si>
    <t>CH3(CH2)2OCH3</t>
  </si>
  <si>
    <t>CH3CH22OCH3</t>
  </si>
  <si>
    <t>methoxypropan</t>
  </si>
  <si>
    <t>-278,8</t>
  </si>
  <si>
    <t>(CH₃)₃COCH₃</t>
  </si>
  <si>
    <t>(CH3)3COCH3</t>
  </si>
  <si>
    <t>CH33COCH3</t>
  </si>
  <si>
    <t>2-methoxy-2-methylpropan</t>
  </si>
  <si>
    <t>-313,6</t>
  </si>
  <si>
    <t>-(CH₂OCH₂)₂-</t>
  </si>
  <si>
    <t>-(CH2OCH2)2-</t>
  </si>
  <si>
    <t>-CH2OCH22-</t>
  </si>
  <si>
    <t>1,4-dioxan</t>
  </si>
  <si>
    <t>-353,9</t>
  </si>
  <si>
    <t>-315,3</t>
  </si>
  <si>
    <t>CH₃OCH₂CH₂OCH₃</t>
  </si>
  <si>
    <t>CH3OCH2CH2OCH3</t>
  </si>
  <si>
    <t>glykoldimethylether</t>
  </si>
  <si>
    <t>1,2-dimethoxyethan</t>
  </si>
  <si>
    <t>-376,6</t>
  </si>
  <si>
    <t>(CH₃CH₂CH₂)₂O</t>
  </si>
  <si>
    <t>(CH3CH2CH2)2O</t>
  </si>
  <si>
    <t>CH3CH2CH22O</t>
  </si>
  <si>
    <t>propoxypropan</t>
  </si>
  <si>
    <t>-328,8</t>
  </si>
  <si>
    <t>(HOCH₂CH₂)₂O</t>
  </si>
  <si>
    <t>(HOCH2CH2)2O</t>
  </si>
  <si>
    <t>HOCH2CH22O</t>
  </si>
  <si>
    <t>diethylenglycol</t>
  </si>
  <si>
    <t>bis(2-hydroxyethyl)ether</t>
  </si>
  <si>
    <t>-628,44</t>
  </si>
  <si>
    <t>CH₃OC₆H₅</t>
  </si>
  <si>
    <t>CH3OC6H5</t>
  </si>
  <si>
    <t>anisole</t>
  </si>
  <si>
    <t>methoxybenzen</t>
  </si>
  <si>
    <t>-67,9</t>
  </si>
  <si>
    <t>CH₃CH₂OC₆H₅</t>
  </si>
  <si>
    <t>CH3CH2OC6H5</t>
  </si>
  <si>
    <t>ethoxybenzen</t>
  </si>
  <si>
    <t>-152,6</t>
  </si>
  <si>
    <t>C₉H₆O₂</t>
  </si>
  <si>
    <t>C9H6O2</t>
  </si>
  <si>
    <t>cumarin</t>
  </si>
  <si>
    <t>(C₆H₅)₂O</t>
  </si>
  <si>
    <t>(C6H5)2O</t>
  </si>
  <si>
    <t>C6H52O</t>
  </si>
  <si>
    <t>diphenylether</t>
  </si>
  <si>
    <t>-14,9</t>
  </si>
  <si>
    <t>C₁₁H₁₂O₃</t>
  </si>
  <si>
    <t>C11H12O3</t>
  </si>
  <si>
    <t>myristicin</t>
  </si>
  <si>
    <t>(C₆H₅CH₂)₂O</t>
  </si>
  <si>
    <t>(C6H5CH2)2O</t>
  </si>
  <si>
    <t>C6H5CH22O</t>
  </si>
  <si>
    <t>dibenzylether</t>
  </si>
  <si>
    <t>C₁₂H₂₄O₆</t>
  </si>
  <si>
    <t>C12H24O6</t>
  </si>
  <si>
    <t>kroneether</t>
  </si>
  <si>
    <t>HCHO</t>
  </si>
  <si>
    <t>formaldehyd</t>
  </si>
  <si>
    <t>methanal</t>
  </si>
  <si>
    <t>-108,6</t>
  </si>
  <si>
    <t>-150,21</t>
  </si>
  <si>
    <t>-(CH₂-O)₃</t>
  </si>
  <si>
    <t>-(CH2-O)3</t>
  </si>
  <si>
    <t>-CH2-O3</t>
  </si>
  <si>
    <t>1,3,5-trioxan</t>
  </si>
  <si>
    <t>3∙30,03</t>
  </si>
  <si>
    <t>-522,5</t>
  </si>
  <si>
    <t>CH₃CHO</t>
  </si>
  <si>
    <t>CH3CHO</t>
  </si>
  <si>
    <t>acetaldehyd</t>
  </si>
  <si>
    <t>ethanal</t>
  </si>
  <si>
    <t>-192,2</t>
  </si>
  <si>
    <t>-166,2</t>
  </si>
  <si>
    <t>-212,34</t>
  </si>
  <si>
    <t>-(CH(CH₃)-O)₃-</t>
  </si>
  <si>
    <t>-(CH(CH3)-O)3-</t>
  </si>
  <si>
    <t>-CHCH3-O3-</t>
  </si>
  <si>
    <t>paraldehyd</t>
  </si>
  <si>
    <t>-673,1</t>
  </si>
  <si>
    <t>H-CO-CO-H</t>
  </si>
  <si>
    <t>ethandial</t>
  </si>
  <si>
    <t>-212,0</t>
  </si>
  <si>
    <t>CH₃CH₂CHO</t>
  </si>
  <si>
    <t>CH3CH2CHO</t>
  </si>
  <si>
    <t>propanal</t>
  </si>
  <si>
    <t>-185,6</t>
  </si>
  <si>
    <t>CH₂=CHCHO</t>
  </si>
  <si>
    <t>CH2=CHCHO</t>
  </si>
  <si>
    <t>propenal</t>
  </si>
  <si>
    <t>-125,39</t>
  </si>
  <si>
    <t>-85,77</t>
  </si>
  <si>
    <t>CH₃(CH₂)₂CHO</t>
  </si>
  <si>
    <t>CH3(CH2)2CHO</t>
  </si>
  <si>
    <t>CH3CH22CHO</t>
  </si>
  <si>
    <t>butanal</t>
  </si>
  <si>
    <t>-168,9</t>
  </si>
  <si>
    <t>(CH₃)₂CHCHO</t>
  </si>
  <si>
    <t>(CH3)2CHCHO</t>
  </si>
  <si>
    <t>CH32CHCHO</t>
  </si>
  <si>
    <t>2-methylpropanal</t>
  </si>
  <si>
    <t>CH₃(CH₂)₃CHO</t>
  </si>
  <si>
    <t>CH3(CH2)3CHO</t>
  </si>
  <si>
    <t>CH3CH23CHO</t>
  </si>
  <si>
    <t>valeraldehyd</t>
  </si>
  <si>
    <t>pentanal</t>
  </si>
  <si>
    <t>-300,1</t>
  </si>
  <si>
    <t>CH₃CH₂CH(CH₃)CHO</t>
  </si>
  <si>
    <t>CH3CH2CH(CH3)CHO</t>
  </si>
  <si>
    <t>CH3CH2CHCH3CHO</t>
  </si>
  <si>
    <t>2-methylbutanal</t>
  </si>
  <si>
    <t>(CH₃)₂CHCH₂CHO</t>
  </si>
  <si>
    <t>(CH3)2CHCH2CHO</t>
  </si>
  <si>
    <t>CH32CHCH2CHO</t>
  </si>
  <si>
    <t>3-methylbutanal</t>
  </si>
  <si>
    <t>(CH₃)₃CCHO</t>
  </si>
  <si>
    <t>(CH3)3CCHO</t>
  </si>
  <si>
    <t>CH33CCHO</t>
  </si>
  <si>
    <t>2,2-dimethylpropanal</t>
  </si>
  <si>
    <t>CH₂OH-CHOH-CHO</t>
  </si>
  <si>
    <t>CH2OH-CHOH-CHO</t>
  </si>
  <si>
    <t>glycerolaldehyd</t>
  </si>
  <si>
    <t>2,3-dihydroxypropanal</t>
  </si>
  <si>
    <t>C₆H₅CHO</t>
  </si>
  <si>
    <t>C6H5CHO</t>
  </si>
  <si>
    <t>benzaldehyd</t>
  </si>
  <si>
    <t>-88,83</t>
  </si>
  <si>
    <t>-33,2</t>
  </si>
  <si>
    <t>C₆H₅CH=CHCHO</t>
  </si>
  <si>
    <t>C6H5CH=CHCHO</t>
  </si>
  <si>
    <t>kanelaldehyd</t>
  </si>
  <si>
    <t>CH₃OC₆H₄CHO</t>
  </si>
  <si>
    <t>CH3OC6H4CHO</t>
  </si>
  <si>
    <t>anisaldehyd</t>
  </si>
  <si>
    <t>-276,14</t>
  </si>
  <si>
    <t>CH₃OC₆H₃(OH)CHO</t>
  </si>
  <si>
    <t>CH3OC6H3(OH)CHO</t>
  </si>
  <si>
    <t>CH3OC6H3OHCHO</t>
  </si>
  <si>
    <t>vanillin</t>
  </si>
  <si>
    <t>(CH₃)₂C=CH(CH₂)₂C(CH₃)=CHCHO</t>
  </si>
  <si>
    <t>(CH3)2C=CH(CH2)2C(CH3)=CHCHO</t>
  </si>
  <si>
    <t>CH32C=CHCH22CCH3=CHCHO</t>
  </si>
  <si>
    <t>citral</t>
  </si>
  <si>
    <t>C₂₀H₂₈O</t>
  </si>
  <si>
    <t>C20H28O</t>
  </si>
  <si>
    <t>retinal</t>
  </si>
  <si>
    <t>CH₂=C=O</t>
  </si>
  <si>
    <t>CH2=C=O</t>
  </si>
  <si>
    <t>ethenon</t>
  </si>
  <si>
    <t>(CH₃)₂CO</t>
  </si>
  <si>
    <t>(CH3)2CO</t>
  </si>
  <si>
    <t>CH32CO</t>
  </si>
  <si>
    <t>propanon</t>
  </si>
  <si>
    <t>-248,4</t>
  </si>
  <si>
    <t>-217,1</t>
  </si>
  <si>
    <t>CH₃CH₂COCH₃</t>
  </si>
  <si>
    <t>CH3CH2COCH3</t>
  </si>
  <si>
    <t>butanon</t>
  </si>
  <si>
    <t>CH3COCOCH3</t>
  </si>
  <si>
    <t>diacetyl</t>
  </si>
  <si>
    <t>butan-2,3-dion</t>
  </si>
  <si>
    <t>-365,85</t>
  </si>
  <si>
    <t>CH₃(CH₂)₂COCH₃</t>
  </si>
  <si>
    <t>CH3(CH2)2COCH3</t>
  </si>
  <si>
    <t>CH3CH22COCH3</t>
  </si>
  <si>
    <t>pentan-2-on</t>
  </si>
  <si>
    <t>-297,3</t>
  </si>
  <si>
    <t>(CH₃CH₂)₂CO</t>
  </si>
  <si>
    <t>(CH3CH2)2CO</t>
  </si>
  <si>
    <t>CH3CH22CO</t>
  </si>
  <si>
    <t>pentan-3-on</t>
  </si>
  <si>
    <t>-296,5</t>
  </si>
  <si>
    <t>(CH₃)₂CHCOCH₃</t>
  </si>
  <si>
    <t>(CH3)2CHCOCH3</t>
  </si>
  <si>
    <t>CH32CHCOCH3</t>
  </si>
  <si>
    <t>3-methylbutan-2-on</t>
  </si>
  <si>
    <t>-299,5</t>
  </si>
  <si>
    <t>C₆H₁₀O</t>
  </si>
  <si>
    <t>C6H10O</t>
  </si>
  <si>
    <t>cyclohexanon</t>
  </si>
  <si>
    <t>-271,2</t>
  </si>
  <si>
    <t>CH₃COCOCH₂CH₃</t>
  </si>
  <si>
    <t>CH3COCOCH2CH3</t>
  </si>
  <si>
    <t>pentan-2,3-dion</t>
  </si>
  <si>
    <t>CH₃COCH₂COCH₃</t>
  </si>
  <si>
    <t>CH3COCH2COCH3</t>
  </si>
  <si>
    <t>pentan-2,4-dion</t>
  </si>
  <si>
    <t>CH₃(CH₂)₄COCH₃</t>
  </si>
  <si>
    <t>CH3(CH2)4COCH3</t>
  </si>
  <si>
    <t>CH3CH24COCH3</t>
  </si>
  <si>
    <t>heptan-2-on</t>
  </si>
  <si>
    <t>C₆H₅COCH₃</t>
  </si>
  <si>
    <t>C6H5COCH3</t>
  </si>
  <si>
    <t>acetophenon</t>
  </si>
  <si>
    <t>1-phenylethan-1-on</t>
  </si>
  <si>
    <t>-142,5</t>
  </si>
  <si>
    <t>-86,7</t>
  </si>
  <si>
    <t>C₅H₄NCOCH₃</t>
  </si>
  <si>
    <t>C5H4NCOCH3</t>
  </si>
  <si>
    <t>1-(3-pyridyl)ethanon</t>
  </si>
  <si>
    <t>C₁₀H₁₄O</t>
  </si>
  <si>
    <t>C10H14O</t>
  </si>
  <si>
    <t>carvon</t>
  </si>
  <si>
    <t>C₁₀H₁₆O</t>
  </si>
  <si>
    <t>C10H16O</t>
  </si>
  <si>
    <t>d-campher</t>
  </si>
  <si>
    <t>d,l-campher</t>
  </si>
  <si>
    <t>C₆H₈O₆</t>
  </si>
  <si>
    <t>C6H8O6</t>
  </si>
  <si>
    <t>ascorbinsyre</t>
  </si>
  <si>
    <t>-1164,6</t>
  </si>
  <si>
    <t>C₉H₆O₄</t>
  </si>
  <si>
    <t>C9H6O4</t>
  </si>
  <si>
    <t>ninhydrin</t>
  </si>
  <si>
    <t>C₆H₅COC₆H₅</t>
  </si>
  <si>
    <t>C6H5COC6H5</t>
  </si>
  <si>
    <t>benzophenon</t>
  </si>
  <si>
    <t>-34,5</t>
  </si>
  <si>
    <t>C₁₃H₂₀O</t>
  </si>
  <si>
    <t>C13H20O</t>
  </si>
  <si>
    <t>β-iononen</t>
  </si>
  <si>
    <t>C₁₇H₁₉O₃N</t>
  </si>
  <si>
    <t>C17H19O3N</t>
  </si>
  <si>
    <t>piperin</t>
  </si>
  <si>
    <t>C₁₉H₂₈O₂</t>
  </si>
  <si>
    <t>C19H28O2</t>
  </si>
  <si>
    <t>testosteron</t>
  </si>
  <si>
    <t>•</t>
  </si>
  <si>
    <t>C₁₈H₂₇O₃N</t>
  </si>
  <si>
    <t>C18H27O3N</t>
  </si>
  <si>
    <t>capsaicin</t>
  </si>
  <si>
    <t>C₅H₁₀O₅</t>
  </si>
  <si>
    <t>C5H10O5</t>
  </si>
  <si>
    <t>α-d-arabinose</t>
  </si>
  <si>
    <t>β-d-arabinose</t>
  </si>
  <si>
    <t>-1057,9</t>
  </si>
  <si>
    <t>d-arabinose,ligevægt</t>
  </si>
  <si>
    <t>α-l-arabinose</t>
  </si>
  <si>
    <t>β-l-arabinose</t>
  </si>
  <si>
    <t>l-arabinose,ligevægt</t>
  </si>
  <si>
    <t>α-d-xylose</t>
  </si>
  <si>
    <t>d-xylose,ligevægt</t>
  </si>
  <si>
    <t>-1057,8</t>
  </si>
  <si>
    <t>d-ribose</t>
  </si>
  <si>
    <t>-1047,2</t>
  </si>
  <si>
    <t>C₅H₁₀O₄</t>
  </si>
  <si>
    <t>C5H10O4</t>
  </si>
  <si>
    <t>d-2-deoxyribose</t>
  </si>
  <si>
    <t>C₆H₁₂O₆</t>
  </si>
  <si>
    <t>C6H12O6</t>
  </si>
  <si>
    <t>α-l-glucose</t>
  </si>
  <si>
    <t>l-glucose,ligevægt</t>
  </si>
  <si>
    <t>α-d-glucose</t>
  </si>
  <si>
    <t>-1274,45</t>
  </si>
  <si>
    <t>-1263,07</t>
  </si>
  <si>
    <t>C₆H₁₂O₆∙H₂O</t>
  </si>
  <si>
    <t>C6H12O6*H2O</t>
  </si>
  <si>
    <t>C6H12O6H2O</t>
  </si>
  <si>
    <t>α-d-glucose,monohydrat</t>
  </si>
  <si>
    <t>-1562,72</t>
  </si>
  <si>
    <t>β-d-glucose</t>
  </si>
  <si>
    <t>-1268,04</t>
  </si>
  <si>
    <t>-1306,08</t>
  </si>
  <si>
    <t>druesukker</t>
  </si>
  <si>
    <t>glucose</t>
  </si>
  <si>
    <t>-1273,78</t>
  </si>
  <si>
    <t>α-d-galactose</t>
  </si>
  <si>
    <t>β-d-galactose</t>
  </si>
  <si>
    <t>d-galactose,ligevægt</t>
  </si>
  <si>
    <t>-1286,3</t>
  </si>
  <si>
    <t>α-d-mannose</t>
  </si>
  <si>
    <t>β-d-mannose</t>
  </si>
  <si>
    <t>d-mannose,ligevægtketoser</t>
  </si>
  <si>
    <t>-1263,0</t>
  </si>
  <si>
    <t>β-d-fructose</t>
  </si>
  <si>
    <t>-1265,6</t>
  </si>
  <si>
    <t>fructose</t>
  </si>
  <si>
    <t>C₁₂H₂₂O₁₁</t>
  </si>
  <si>
    <t>C12H22O11</t>
  </si>
  <si>
    <t>α-lactose</t>
  </si>
  <si>
    <t>-2221,70</t>
  </si>
  <si>
    <t>-2237,37</t>
  </si>
  <si>
    <t>β-lactose</t>
  </si>
  <si>
    <t>-2236,77</t>
  </si>
  <si>
    <t>-2233,50</t>
  </si>
  <si>
    <t>lactose,ligevægt</t>
  </si>
  <si>
    <t>-2233,08</t>
  </si>
  <si>
    <t>C₁₂H₂₂O₁₁∙H₂O</t>
  </si>
  <si>
    <t>C12H22O11*H2O</t>
  </si>
  <si>
    <t>C12H22O11H2O</t>
  </si>
  <si>
    <t>lactose,monohydrat</t>
  </si>
  <si>
    <t>-2536,34</t>
  </si>
  <si>
    <t>α-maltose</t>
  </si>
  <si>
    <t>-2238,27</t>
  </si>
  <si>
    <t>β-maltose</t>
  </si>
  <si>
    <t>-2237,73</t>
  </si>
  <si>
    <t>maltose,ligevægt</t>
  </si>
  <si>
    <t>-2238,06</t>
  </si>
  <si>
    <t>β-maltosemonohydrat</t>
  </si>
  <si>
    <t>-2539,27</t>
  </si>
  <si>
    <t>saccharose</t>
  </si>
  <si>
    <t>-2215,85</t>
  </si>
  <si>
    <t>β-cellobiose</t>
  </si>
  <si>
    <t>(C₆H₁₀O₅)ₙ</t>
  </si>
  <si>
    <t>(C6H10O5)n</t>
  </si>
  <si>
    <t>C6H10O5n</t>
  </si>
  <si>
    <t>stivelse</t>
  </si>
  <si>
    <t>glycogen</t>
  </si>
  <si>
    <t>10⁶</t>
  </si>
  <si>
    <t>amylose</t>
  </si>
  <si>
    <t>amylopectin</t>
  </si>
  <si>
    <t>cellulose</t>
  </si>
  <si>
    <t>HCOOH</t>
  </si>
  <si>
    <t>myresyre</t>
  </si>
  <si>
    <t>methansyre</t>
  </si>
  <si>
    <t>-425,0</t>
  </si>
  <si>
    <t>-378,7</t>
  </si>
  <si>
    <t>-425,43</t>
  </si>
  <si>
    <t>HCOO⁻</t>
  </si>
  <si>
    <t>HCOO-</t>
  </si>
  <si>
    <t>methanoat</t>
  </si>
  <si>
    <t>-425,55</t>
  </si>
  <si>
    <t>CH₃COOH</t>
  </si>
  <si>
    <t>CH3COOH</t>
  </si>
  <si>
    <t>eddikesyre</t>
  </si>
  <si>
    <t>ethansyre</t>
  </si>
  <si>
    <t>-484,3</t>
  </si>
  <si>
    <t>-432,2</t>
  </si>
  <si>
    <t>-485,27</t>
  </si>
  <si>
    <t>CH₃COO⁻</t>
  </si>
  <si>
    <t>CH3COO-</t>
  </si>
  <si>
    <t>acetat</t>
  </si>
  <si>
    <t>ethanoat</t>
  </si>
  <si>
    <t>-485,60</t>
  </si>
  <si>
    <t>CH₂=CHCOOH</t>
  </si>
  <si>
    <t>CH2=CHCOOH</t>
  </si>
  <si>
    <t>propensyre</t>
  </si>
  <si>
    <t>-383,8</t>
  </si>
  <si>
    <t>acrylsyre</t>
  </si>
  <si>
    <t>-336,23</t>
  </si>
  <si>
    <t>CH₃CH₂COOH</t>
  </si>
  <si>
    <t>CH3CH2COOH</t>
  </si>
  <si>
    <t>propionsyre</t>
  </si>
  <si>
    <t>propansyre</t>
  </si>
  <si>
    <t>-510,7</t>
  </si>
  <si>
    <t>CH₃C(O)OOH</t>
  </si>
  <si>
    <t>CH3C(O)OOH</t>
  </si>
  <si>
    <t>CH3COOOH</t>
  </si>
  <si>
    <t>peroxyethansyre</t>
  </si>
  <si>
    <t>CH₂OHCOOH</t>
  </si>
  <si>
    <t>CH2OHCOOH</t>
  </si>
  <si>
    <t>2-hydroxyethansyre</t>
  </si>
  <si>
    <t>-660,24</t>
  </si>
  <si>
    <t>-648,52</t>
  </si>
  <si>
    <t>CH₂OHCOO⁻</t>
  </si>
  <si>
    <t>CH2OHCOO-</t>
  </si>
  <si>
    <t>2-hydroxyethanoat</t>
  </si>
  <si>
    <t>-648,10</t>
  </si>
  <si>
    <t>CH₂FCOOH</t>
  </si>
  <si>
    <t>CH2FCOOH</t>
  </si>
  <si>
    <t>fluorethansyre</t>
  </si>
  <si>
    <t>-688,27</t>
  </si>
  <si>
    <t>CH₃COCOOH</t>
  </si>
  <si>
    <t>CH3COCOOH</t>
  </si>
  <si>
    <t>pyrodruesyre</t>
  </si>
  <si>
    <t>2-oxopropansyre</t>
  </si>
  <si>
    <t>-607,52</t>
  </si>
  <si>
    <t>CH₃COCOO⁻</t>
  </si>
  <si>
    <t>CH3COCOO-</t>
  </si>
  <si>
    <t>2-oxopropanoat</t>
  </si>
  <si>
    <t>-595,22</t>
  </si>
  <si>
    <t>CH₃(CH₂)₂COOH</t>
  </si>
  <si>
    <t>CH3(CH2)2COOH</t>
  </si>
  <si>
    <t>CH3CH22COOH</t>
  </si>
  <si>
    <t>smørsyre</t>
  </si>
  <si>
    <t>butansyre</t>
  </si>
  <si>
    <t>-535,13</t>
  </si>
  <si>
    <t>-532,62</t>
  </si>
  <si>
    <t>CH₃(CH₂)₂COO⁻</t>
  </si>
  <si>
    <t>CH3(CH2)2COO-</t>
  </si>
  <si>
    <t>CH3CH22COO-</t>
  </si>
  <si>
    <t>butyrat</t>
  </si>
  <si>
    <t>butanoat</t>
  </si>
  <si>
    <t>-535,55</t>
  </si>
  <si>
    <t>(CH₃)₂CHCOOH</t>
  </si>
  <si>
    <t>(CH3)2CHCOOH</t>
  </si>
  <si>
    <t>CH32CHCOOH</t>
  </si>
  <si>
    <t>isosmørsyre</t>
  </si>
  <si>
    <t>2-methylpropansyre</t>
  </si>
  <si>
    <t>(COOH)₂</t>
  </si>
  <si>
    <t>(COOH)2</t>
  </si>
  <si>
    <t>COOH2</t>
  </si>
  <si>
    <t>oxalsyre</t>
  </si>
  <si>
    <t>ethandisyre</t>
  </si>
  <si>
    <t>-827,18</t>
  </si>
  <si>
    <t>-825,08</t>
  </si>
  <si>
    <t>CH₃CHOHCOOH</t>
  </si>
  <si>
    <t>CH3CHOHCOOH</t>
  </si>
  <si>
    <t>mælkesyre</t>
  </si>
  <si>
    <t>2-hydroxypropansyre</t>
  </si>
  <si>
    <t>-674,46</t>
  </si>
  <si>
    <t>-673,62</t>
  </si>
  <si>
    <t>l-2-hydroxypropansyre</t>
  </si>
  <si>
    <t>-694,04</t>
  </si>
  <si>
    <t>-686,22</t>
  </si>
  <si>
    <t>CH₃CHOHCOO-</t>
  </si>
  <si>
    <t>CH3CHOHCOO-</t>
  </si>
  <si>
    <t>l-2-hydroxypropanoat</t>
  </si>
  <si>
    <t>-686,64</t>
  </si>
  <si>
    <t>CH₂ClCOOH</t>
  </si>
  <si>
    <t>CH2ClCOOH</t>
  </si>
  <si>
    <t>chlorethansyre</t>
  </si>
  <si>
    <t>-509,7</t>
  </si>
  <si>
    <t>CH₃(CH₂)₃COOH</t>
  </si>
  <si>
    <t>CH3(CH2)3COOH</t>
  </si>
  <si>
    <t>CH3CH23COOH</t>
  </si>
  <si>
    <t>valerianesyre</t>
  </si>
  <si>
    <t>pentansyre</t>
  </si>
  <si>
    <t>-559,4</t>
  </si>
  <si>
    <t>CH₃CH₂CH(CH₃)COOH</t>
  </si>
  <si>
    <t>CH3CH2CH(CH3)COOH</t>
  </si>
  <si>
    <t>CH3CH2CHCH3COOH</t>
  </si>
  <si>
    <t>2-methylbutansyre</t>
  </si>
  <si>
    <t>-554,5</t>
  </si>
  <si>
    <t>(CH₃)₂CHCH₂COOH</t>
  </si>
  <si>
    <t>(CH3)2CHCH2COOH</t>
  </si>
  <si>
    <t>CH32CHCH2COOH</t>
  </si>
  <si>
    <t>3-methylbutansyre</t>
  </si>
  <si>
    <t>-561,6</t>
  </si>
  <si>
    <t>C(CH₃)₃COOH</t>
  </si>
  <si>
    <t>C(CH3)3COOH</t>
  </si>
  <si>
    <t>CCH33COOH</t>
  </si>
  <si>
    <t>pivalinsyre</t>
  </si>
  <si>
    <t>2,2-dimethylpropansyre</t>
  </si>
  <si>
    <t>-564,5</t>
  </si>
  <si>
    <t>CH₂(COOH)₂</t>
  </si>
  <si>
    <t>CH2(COOH)2</t>
  </si>
  <si>
    <t>CH2COOH2</t>
  </si>
  <si>
    <t>propandisyre</t>
  </si>
  <si>
    <t>-891,02</t>
  </si>
  <si>
    <t>CH₃CHClCOOH</t>
  </si>
  <si>
    <t>CH3CHClCOOH</t>
  </si>
  <si>
    <t>2-chlorpropansyre</t>
  </si>
  <si>
    <t>CH₂ClCH₂COOH</t>
  </si>
  <si>
    <t>CH2ClCH2COOH</t>
  </si>
  <si>
    <t>3-chlorpropansyre</t>
  </si>
  <si>
    <t>-549,3</t>
  </si>
  <si>
    <t>HOOCCH=CHCOOH</t>
  </si>
  <si>
    <t>fumarsyre</t>
  </si>
  <si>
    <t>(E)-but-2-endisyre</t>
  </si>
  <si>
    <t>-811,7</t>
  </si>
  <si>
    <t>-774,88</t>
  </si>
  <si>
    <t>HOOCCH=CHCOO⁻</t>
  </si>
  <si>
    <t>HOOCCH=CHCOO-</t>
  </si>
  <si>
    <t>hydrogen-(E)-but-2-endioat</t>
  </si>
  <si>
    <t>-774,46</t>
  </si>
  <si>
    <t>⁻OOCCH=CHCOO⁻</t>
  </si>
  <si>
    <t>-OOCCH=CHCOO-</t>
  </si>
  <si>
    <t>fumarat</t>
  </si>
  <si>
    <t>(E)-but-2-endioat</t>
  </si>
  <si>
    <t>-777,39</t>
  </si>
  <si>
    <t>maleinsyre</t>
  </si>
  <si>
    <t>(Z)-but-2-endisyre</t>
  </si>
  <si>
    <t>-788,4</t>
  </si>
  <si>
    <t>-790,52</t>
  </si>
  <si>
    <t>CH₃(CH₂)₄COOH</t>
  </si>
  <si>
    <t>CH3(CH2)4COOH</t>
  </si>
  <si>
    <t>CH3CH24COOH</t>
  </si>
  <si>
    <t>capronsyre</t>
  </si>
  <si>
    <t>hexansyre</t>
  </si>
  <si>
    <t>-583,8</t>
  </si>
  <si>
    <t>(CH₂COOH)₂</t>
  </si>
  <si>
    <t>(CH2COOH)2</t>
  </si>
  <si>
    <t>ravsyre</t>
  </si>
  <si>
    <t>butandisyre</t>
  </si>
  <si>
    <t>-940,5</t>
  </si>
  <si>
    <t>-912,20269,45</t>
  </si>
  <si>
    <t>HOOC(CH₂)₂COO⁻</t>
  </si>
  <si>
    <t>HOOC(CH2)2COO-</t>
  </si>
  <si>
    <t>HOOCCH22COO-</t>
  </si>
  <si>
    <t>hydrogenbutandioat</t>
  </si>
  <si>
    <t>-908,89</t>
  </si>
  <si>
    <t>⁻OOH(CH₂)₂COO⁻</t>
  </si>
  <si>
    <t>-OOH(CH2)2COO-</t>
  </si>
  <si>
    <t>-OOHCH22COO-</t>
  </si>
  <si>
    <t>succinat</t>
  </si>
  <si>
    <t>butandioat</t>
  </si>
  <si>
    <t>-908,68</t>
  </si>
  <si>
    <t>92,88-122,59</t>
  </si>
  <si>
    <t>CHOH(COOH)₂</t>
  </si>
  <si>
    <t>CHOH(COOH)2</t>
  </si>
  <si>
    <t>CHOHCOOH2</t>
  </si>
  <si>
    <t>tartonsyre</t>
  </si>
  <si>
    <t>2-hydroxypropandisyre</t>
  </si>
  <si>
    <t>C₆H₅COOH</t>
  </si>
  <si>
    <t>C6H5COOH</t>
  </si>
  <si>
    <t>benzoesyre</t>
  </si>
  <si>
    <t>CHCl₂COOH</t>
  </si>
  <si>
    <t>CHCl2COOH</t>
  </si>
  <si>
    <t>dichlorethansyre</t>
  </si>
  <si>
    <t>-496,3</t>
  </si>
  <si>
    <t>HOOCCH₂COCOOH</t>
  </si>
  <si>
    <t>HOOCCH2COCOOH</t>
  </si>
  <si>
    <t>oxaleddikesyre</t>
  </si>
  <si>
    <t>2-oxobutandisyre</t>
  </si>
  <si>
    <t>-984,5</t>
  </si>
  <si>
    <t>HOOCCH₂COCOO⁻</t>
  </si>
  <si>
    <t>HOOCCH2COCOO-</t>
  </si>
  <si>
    <t>hydrogen-2-oxobutandioat</t>
  </si>
  <si>
    <t>⁻OOCCH₂COCOO⁻</t>
  </si>
  <si>
    <t>-OOCCH2COCOO-</t>
  </si>
  <si>
    <t>2-oxobutandioat</t>
  </si>
  <si>
    <t>HOOCCH₂CHOHCOOH</t>
  </si>
  <si>
    <t>HOOCCH2CHOHCOOH</t>
  </si>
  <si>
    <t>æblesyre</t>
  </si>
  <si>
    <t>2-hydroxybutandisyre</t>
  </si>
  <si>
    <t>-1103,32</t>
  </si>
  <si>
    <t>HOOCCH₂CHOHCOO⁻</t>
  </si>
  <si>
    <t>HOOCCH2CHOHCOO-</t>
  </si>
  <si>
    <t>malat</t>
  </si>
  <si>
    <t>hydrogen-2-hydroxybutandioat</t>
  </si>
  <si>
    <t>⁻OOCCH₂CHOHCOO⁻</t>
  </si>
  <si>
    <t>-OOCCH2CHOHCOO-</t>
  </si>
  <si>
    <t>2-hydroxybutandioat</t>
  </si>
  <si>
    <t>HO-C₆H₄-COOH</t>
  </si>
  <si>
    <t>HO-C6H4-COOH</t>
  </si>
  <si>
    <t>salicylsyre</t>
  </si>
  <si>
    <t>2-hydroxybenzoesyre</t>
  </si>
  <si>
    <t>-589,9</t>
  </si>
  <si>
    <t>CH₂BrCOOH</t>
  </si>
  <si>
    <t>CH2BrCOOH</t>
  </si>
  <si>
    <t>bromethansyre</t>
  </si>
  <si>
    <t>-383,5</t>
  </si>
  <si>
    <t>CH₃(CH₂)₆COOH</t>
  </si>
  <si>
    <t>CH3(CH2)6COOH</t>
  </si>
  <si>
    <t>CH3CH26COOH</t>
  </si>
  <si>
    <t>caprilsyre</t>
  </si>
  <si>
    <t>octansyre</t>
  </si>
  <si>
    <t>-636,0</t>
  </si>
  <si>
    <t>HOOCCO(CH₂)₂COOH</t>
  </si>
  <si>
    <t>HOOCCO(CH2)2COOH</t>
  </si>
  <si>
    <t>HOOCCOCH22COOH</t>
  </si>
  <si>
    <t>ketoglutaminsyre</t>
  </si>
  <si>
    <t>2-oxopentandisyre</t>
  </si>
  <si>
    <t>HOOC(CH₂)₄COOH</t>
  </si>
  <si>
    <t>HOOC(CH2)4COOH</t>
  </si>
  <si>
    <t>HOOCCH24COOH</t>
  </si>
  <si>
    <t>adipinsyre</t>
  </si>
  <si>
    <t>hexandisyre</t>
  </si>
  <si>
    <t>-994,3</t>
  </si>
  <si>
    <t>vinsyre</t>
  </si>
  <si>
    <t>(2R,3R)-2,3-dihydroxybutandisyre</t>
  </si>
  <si>
    <t>-1282,40</t>
  </si>
  <si>
    <t>D-vinsyre</t>
  </si>
  <si>
    <t>(2S,3S)-2,3-dihydroxybutandisyre</t>
  </si>
  <si>
    <t>mesovinsyre</t>
  </si>
  <si>
    <t>(2R,3S)-2,3-dihydroxybutandisyre</t>
  </si>
  <si>
    <t>-1279,89</t>
  </si>
  <si>
    <t>CCl₃COOH</t>
  </si>
  <si>
    <t>CCl3COOH</t>
  </si>
  <si>
    <t>trichlorethansyre</t>
  </si>
  <si>
    <t>-234,5</t>
  </si>
  <si>
    <t>HOOC-C₆H₄-COOH</t>
  </si>
  <si>
    <t>HOOC-C6H4-COOH</t>
  </si>
  <si>
    <t>phthalsyre</t>
  </si>
  <si>
    <t>1,2-benzendicarboxylsyre</t>
  </si>
  <si>
    <t>-782,0</t>
  </si>
  <si>
    <t>isophthalsyre</t>
  </si>
  <si>
    <t>1,3-benzendicarboxylsyre</t>
  </si>
  <si>
    <t>-803,0</t>
  </si>
  <si>
    <t>terephthalsyre</t>
  </si>
  <si>
    <t>1,4-benzendicarboxylsyre</t>
  </si>
  <si>
    <t>-816,1</t>
  </si>
  <si>
    <t>CH₃(CH₂)₈COOH</t>
  </si>
  <si>
    <t>CH3(CH2)8COOH</t>
  </si>
  <si>
    <t>CH3CH28COOH</t>
  </si>
  <si>
    <t>caprinsyre</t>
  </si>
  <si>
    <t>decansyre</t>
  </si>
  <si>
    <t>-713,7</t>
  </si>
  <si>
    <t>CH₃COOC₆H₄COOH</t>
  </si>
  <si>
    <t>CH3COOC6H4COOH</t>
  </si>
  <si>
    <t>acetylsalicylsyre</t>
  </si>
  <si>
    <t>-815,6</t>
  </si>
  <si>
    <t>CH₂ICOOH</t>
  </si>
  <si>
    <t>CH2ICOOH</t>
  </si>
  <si>
    <t>iodethansyre</t>
  </si>
  <si>
    <t>C₆H₈O₇</t>
  </si>
  <si>
    <t>C6H8O7</t>
  </si>
  <si>
    <t>citronsyre</t>
  </si>
  <si>
    <t>-1543,8</t>
  </si>
  <si>
    <t>C₆H₈O₇∙H₂O</t>
  </si>
  <si>
    <t>C6H8O7*H2O</t>
  </si>
  <si>
    <t>C6H8O7H2O</t>
  </si>
  <si>
    <t>citronsyremonohydrat</t>
  </si>
  <si>
    <t>-1838,45</t>
  </si>
  <si>
    <t>2-hydroxypropan-1,2,3-tricarboxylsyre</t>
  </si>
  <si>
    <t>-1525,90</t>
  </si>
  <si>
    <t>C₆H₇O₇⁻</t>
  </si>
  <si>
    <t>C6H7O7-</t>
  </si>
  <si>
    <t>dihydrogencitrat</t>
  </si>
  <si>
    <t>-1520,88</t>
  </si>
  <si>
    <t>C₆H₆O₇²⁻</t>
  </si>
  <si>
    <t>C6H6O72-</t>
  </si>
  <si>
    <t>hydrogencitrat</t>
  </si>
  <si>
    <t>-1518,46</t>
  </si>
  <si>
    <t>C₆H₅O₇³⁻</t>
  </si>
  <si>
    <t>C6H5O73-</t>
  </si>
  <si>
    <t>citrat</t>
  </si>
  <si>
    <t>-1515,11</t>
  </si>
  <si>
    <t>d-isocitronsyre</t>
  </si>
  <si>
    <t>d-dihydrogenisocitrat</t>
  </si>
  <si>
    <t>d-hydrogenisocitrat</t>
  </si>
  <si>
    <t>d-isocitrat</t>
  </si>
  <si>
    <t>CH₃(CH₂)₁₀COOH</t>
  </si>
  <si>
    <t>CH3(CH2)10COOH</t>
  </si>
  <si>
    <t>CH3CH210COOH</t>
  </si>
  <si>
    <t>laurinsyre</t>
  </si>
  <si>
    <t>dodecansyre</t>
  </si>
  <si>
    <t>HOOC(CH₂)₈COOH</t>
  </si>
  <si>
    <t>HOOC(CH2)8COOH</t>
  </si>
  <si>
    <t>HOOCCH28COOH</t>
  </si>
  <si>
    <t>sebacinsyre</t>
  </si>
  <si>
    <t>decandisyre</t>
  </si>
  <si>
    <t>-1082,6</t>
  </si>
  <si>
    <t>CH₃(CH₂)₁₂COOH</t>
  </si>
  <si>
    <t>CH3(CH2)12COOH</t>
  </si>
  <si>
    <t>CH3CH212COOH</t>
  </si>
  <si>
    <t>myristinsyre</t>
  </si>
  <si>
    <t>tetradecansyre</t>
  </si>
  <si>
    <t>-833,5</t>
  </si>
  <si>
    <t>CH₃(CH₂)₁₄COOH</t>
  </si>
  <si>
    <t>CH3(CH2)14COOH</t>
  </si>
  <si>
    <t>CH3CH214COOH</t>
  </si>
  <si>
    <t>palmitinsyre</t>
  </si>
  <si>
    <t>hexadecansyre</t>
  </si>
  <si>
    <t>-891,5</t>
  </si>
  <si>
    <t>CH₃(CH₂)₁₄COO⁻</t>
  </si>
  <si>
    <t>CH3(CH2)14COO-</t>
  </si>
  <si>
    <t>CH3CH214COO-</t>
  </si>
  <si>
    <t>hexadecanoat</t>
  </si>
  <si>
    <t>C₁₈H₃₀O₂</t>
  </si>
  <si>
    <t>C18H30O2</t>
  </si>
  <si>
    <t>linolensyre</t>
  </si>
  <si>
    <t>(9Z,12Z,15Z)-octadeca-9,12,15-triensyre</t>
  </si>
  <si>
    <t>C₁₈H₃₂O₂</t>
  </si>
  <si>
    <t>C18H32O2</t>
  </si>
  <si>
    <t>linolsyre</t>
  </si>
  <si>
    <t>(9Z,12Z)-octadeca-9,12-diensyre</t>
  </si>
  <si>
    <t>CH₃(CH₂)₇CH=CH(CH₂)₇COOH</t>
  </si>
  <si>
    <t>CH3(CH2)7CH=CH(CH2)7COOH</t>
  </si>
  <si>
    <t>CH3CH27CH=CHCH27COOH</t>
  </si>
  <si>
    <t>oliesyre</t>
  </si>
  <si>
    <t>(Z)-octadec-9-ensyre</t>
  </si>
  <si>
    <t>elaidinsyre</t>
  </si>
  <si>
    <t>(E)-octadec-9-ensyre</t>
  </si>
  <si>
    <t>CH₃(CH₂)₁₆COOH</t>
  </si>
  <si>
    <t>CH3(CH2)16COOH</t>
  </si>
  <si>
    <t>CH3CH216COOH</t>
  </si>
  <si>
    <t>stearinsyre</t>
  </si>
  <si>
    <t>octadecansyre</t>
  </si>
  <si>
    <t>-947,7</t>
  </si>
  <si>
    <t>CH₃(CH₂)₇CH=CH(CH₂)₁₁COOH</t>
  </si>
  <si>
    <t>CH3(CH2)7CH=CH(CH2)11COOH</t>
  </si>
  <si>
    <t>CH3CH27CH=CHCH211COOH</t>
  </si>
  <si>
    <t>erycasyre</t>
  </si>
  <si>
    <t>(Z)-docos-13-ensyre</t>
  </si>
  <si>
    <t>-960,7</t>
  </si>
  <si>
    <t>(CH₃C=O)₂O</t>
  </si>
  <si>
    <t>(CH3C=O)2O</t>
  </si>
  <si>
    <t>CH3C=O2O</t>
  </si>
  <si>
    <t>ethansyreanhydrid</t>
  </si>
  <si>
    <t>-624,4</t>
  </si>
  <si>
    <t>(CH₃CH₂C=O)₂O</t>
  </si>
  <si>
    <t>(CH3CH2C=O)2O</t>
  </si>
  <si>
    <t>CH3CH2C=O2O</t>
  </si>
  <si>
    <t>propansyreanhydrid</t>
  </si>
  <si>
    <t>-679,1</t>
  </si>
  <si>
    <t>C₆H₄(C=O)₂O</t>
  </si>
  <si>
    <t>C6H4(C=O)2O</t>
  </si>
  <si>
    <t>C6H4C=O2O</t>
  </si>
  <si>
    <t>phthalsyreanhydrid</t>
  </si>
  <si>
    <t>-460,1</t>
  </si>
  <si>
    <t>(C₆H₅C=O)₂O</t>
  </si>
  <si>
    <t>(C6H5C=O)2O</t>
  </si>
  <si>
    <t>C6H5C=O2O</t>
  </si>
  <si>
    <t>benzoesyreanhydrid</t>
  </si>
  <si>
    <t>-430,95</t>
  </si>
  <si>
    <t>CH₃C(=O)Cl</t>
  </si>
  <si>
    <t>CH3C(=O)Cl</t>
  </si>
  <si>
    <t>CH3C=OCl</t>
  </si>
  <si>
    <t>acetylchlorid</t>
  </si>
  <si>
    <t>ethanoylchlorid</t>
  </si>
  <si>
    <t>-273,9</t>
  </si>
  <si>
    <t>-242,8</t>
  </si>
  <si>
    <t>CH₃CH₂C(=O)Cl</t>
  </si>
  <si>
    <t>CH3CH2C(=O)Cl</t>
  </si>
  <si>
    <t>CH3CH2C=OCl</t>
  </si>
  <si>
    <t>propanoylchlorid</t>
  </si>
  <si>
    <t>C(=O)Cl₂</t>
  </si>
  <si>
    <t>C(=O)Cl2</t>
  </si>
  <si>
    <t>C=OCl2</t>
  </si>
  <si>
    <t>carbonylchlorid</t>
  </si>
  <si>
    <t>CH₃C(=O)Br</t>
  </si>
  <si>
    <t>CH3C(=O)Br</t>
  </si>
  <si>
    <t>CH3C=OBr</t>
  </si>
  <si>
    <t>ethanoylbromid</t>
  </si>
  <si>
    <t>-223,5</t>
  </si>
  <si>
    <t>C₆H₅C(=O)Cl</t>
  </si>
  <si>
    <t>C6H5C(=O)Cl</t>
  </si>
  <si>
    <t>C6H5C=OCl</t>
  </si>
  <si>
    <t>benzoylchlorid</t>
  </si>
  <si>
    <t>-158,0</t>
  </si>
  <si>
    <t>HC(=O)NH₂</t>
  </si>
  <si>
    <t>HC(=O)NH2</t>
  </si>
  <si>
    <t>HC=ONH2</t>
  </si>
  <si>
    <t>formamid</t>
  </si>
  <si>
    <t>methanamid</t>
  </si>
  <si>
    <t>-254,0</t>
  </si>
  <si>
    <t>CH₃C(=O)NH₂</t>
  </si>
  <si>
    <t>CH3C(=O)NH2</t>
  </si>
  <si>
    <t>CH3C=ONH2</t>
  </si>
  <si>
    <t>acetamid</t>
  </si>
  <si>
    <t>ethanamid</t>
  </si>
  <si>
    <t>-317,0</t>
  </si>
  <si>
    <t>C(=O)(NH₂)₂</t>
  </si>
  <si>
    <t>C(=O)(NH2)2</t>
  </si>
  <si>
    <t>C=ONH22</t>
  </si>
  <si>
    <t>urinstof</t>
  </si>
  <si>
    <t>carbamid</t>
  </si>
  <si>
    <t>-331,1</t>
  </si>
  <si>
    <t>-317,65</t>
  </si>
  <si>
    <t>H₂NC(=O)-C(=O)NH₂</t>
  </si>
  <si>
    <t>H2NC(=O)-C(=O)NH2</t>
  </si>
  <si>
    <t>H2NC=O-C=ONH2</t>
  </si>
  <si>
    <t>ethandiamid</t>
  </si>
  <si>
    <t>-504,4</t>
  </si>
  <si>
    <t>C₆H₅C(=O)NH₂</t>
  </si>
  <si>
    <t>C6H5C(=O)NH2</t>
  </si>
  <si>
    <t>C6H5C=ONH2</t>
  </si>
  <si>
    <t>benzamid</t>
  </si>
  <si>
    <t>-202,6</t>
  </si>
  <si>
    <t>H₂NC(=O)CH₂CH₂C(=O)NH₂</t>
  </si>
  <si>
    <t>H2NC(=O)CH2CH2C(=O)NH2</t>
  </si>
  <si>
    <t>H2NC=OCH2CH2C=ONH2</t>
  </si>
  <si>
    <t>butandiamid</t>
  </si>
  <si>
    <t>methannitril</t>
  </si>
  <si>
    <t>131,1</t>
  </si>
  <si>
    <t>CH₃-CN</t>
  </si>
  <si>
    <t>CH3-CN</t>
  </si>
  <si>
    <t>ethannitril</t>
  </si>
  <si>
    <t>40,6</t>
  </si>
  <si>
    <t>CH₂=CH-CN</t>
  </si>
  <si>
    <t>CH2=CH-CN</t>
  </si>
  <si>
    <t>acrylonitril</t>
  </si>
  <si>
    <t>propennitril</t>
  </si>
  <si>
    <t>180,6</t>
  </si>
  <si>
    <t>CH₃CH₂CN</t>
  </si>
  <si>
    <t>CH3CH2CN</t>
  </si>
  <si>
    <t>propannitril</t>
  </si>
  <si>
    <t>15,5</t>
  </si>
  <si>
    <t>C₆H₅CN</t>
  </si>
  <si>
    <t>C6H5CN</t>
  </si>
  <si>
    <t>benzonitril</t>
  </si>
  <si>
    <t>163,2</t>
  </si>
  <si>
    <t>NC-(CH₂)₄-CN</t>
  </si>
  <si>
    <t>NC-(CH2)4-CN</t>
  </si>
  <si>
    <t>NC-CH24-CN</t>
  </si>
  <si>
    <t>adipinsyredinitril</t>
  </si>
  <si>
    <t>hexandinitril</t>
  </si>
  <si>
    <t>C₂H₃N</t>
  </si>
  <si>
    <t>C2H3N</t>
  </si>
  <si>
    <t>methylisocyanid</t>
  </si>
  <si>
    <t>C₇H₅N</t>
  </si>
  <si>
    <t>C7H5N</t>
  </si>
  <si>
    <t>phenylisocyanid</t>
  </si>
  <si>
    <t>HCOOCH₃</t>
  </si>
  <si>
    <t>HCOOCH3</t>
  </si>
  <si>
    <t>methylmethanoat</t>
  </si>
  <si>
    <t>-386,1</t>
  </si>
  <si>
    <t>HCOOCH₂CH₃</t>
  </si>
  <si>
    <t>HCOOCH2CH3</t>
  </si>
  <si>
    <t>ethylmethanoat</t>
  </si>
  <si>
    <t>CH₃COOCH₃</t>
  </si>
  <si>
    <t>CH3COOCH3</t>
  </si>
  <si>
    <t>methylethanoat</t>
  </si>
  <si>
    <t>-445,9</t>
  </si>
  <si>
    <t>CH₃ONO₂</t>
  </si>
  <si>
    <t>CH3ONO2</t>
  </si>
  <si>
    <t>methylnitrat</t>
  </si>
  <si>
    <t>-156,3</t>
  </si>
  <si>
    <t>CH₃COOCH₂CH₃</t>
  </si>
  <si>
    <t>CH3COOCH2CH3</t>
  </si>
  <si>
    <t>ethylethanoat</t>
  </si>
  <si>
    <t>-479,3</t>
  </si>
  <si>
    <t>HCOO(CH₂)₂CH₃</t>
  </si>
  <si>
    <t>HCOO(CH2)2CH3</t>
  </si>
  <si>
    <t>HCOOCH22CH3</t>
  </si>
  <si>
    <t>propylmethanoat</t>
  </si>
  <si>
    <t>-500,3</t>
  </si>
  <si>
    <t>CH₃CH₂ONO₂</t>
  </si>
  <si>
    <t>CH3CH2ONO2</t>
  </si>
  <si>
    <t>ethylnitrat</t>
  </si>
  <si>
    <t>-154,1</t>
  </si>
  <si>
    <t>CH₃COO(CH₂)₂CH₃</t>
  </si>
  <si>
    <t>CH3COO(CH2)2CH3</t>
  </si>
  <si>
    <t>CH3COOCH22CH3</t>
  </si>
  <si>
    <t>propylethanoat</t>
  </si>
  <si>
    <t>CH₃COOCH(CH₃)₂</t>
  </si>
  <si>
    <t>CH3COOCH(CH3)2</t>
  </si>
  <si>
    <t>CH3COOCHCH32</t>
  </si>
  <si>
    <t>isopropylethanoat</t>
  </si>
  <si>
    <t>(1-methylethyl)ethanoat</t>
  </si>
  <si>
    <t>-518,9</t>
  </si>
  <si>
    <t>CH₃CH₂COOCH₃</t>
  </si>
  <si>
    <t>CH3CH2COOCH3</t>
  </si>
  <si>
    <t>methylpropanoat</t>
  </si>
  <si>
    <t>CH₃CH₂COOCH₂CH₃</t>
  </si>
  <si>
    <t>CH3CH2COOCH2CH3</t>
  </si>
  <si>
    <t>ethylpropanoat</t>
  </si>
  <si>
    <t>-502,7</t>
  </si>
  <si>
    <t>CH₃(CH₂)₂COOCH₃</t>
  </si>
  <si>
    <t>CH3(CH2)2COOCH3</t>
  </si>
  <si>
    <t>CH3CH22COOCH3</t>
  </si>
  <si>
    <t>methylbutanoat</t>
  </si>
  <si>
    <t>CH₃(CH₂)₂COOCH₂CH₃</t>
  </si>
  <si>
    <t>CH3(CH2)2COOCH2CH3</t>
  </si>
  <si>
    <t>CH3CH22COOCH2CH3</t>
  </si>
  <si>
    <t>ethylbutanoat</t>
  </si>
  <si>
    <t>CH₃COO(CH₂)₃CH₃</t>
  </si>
  <si>
    <t>CH3COO(CH2)3CH3</t>
  </si>
  <si>
    <t>CH3COOCH23CH3</t>
  </si>
  <si>
    <t>butylethanoat</t>
  </si>
  <si>
    <t>-529,2</t>
  </si>
  <si>
    <t>CH₃COOCH(CH₃)CH₂CH₃</t>
  </si>
  <si>
    <t>CH3COOCH(CH3)CH2CH3</t>
  </si>
  <si>
    <t>CH3COOCHCH3CH2CH3</t>
  </si>
  <si>
    <t>(1-methylpropyl)ethanoat</t>
  </si>
  <si>
    <t>CH₃COOC(CH₃)₃</t>
  </si>
  <si>
    <t>CH3COOC(CH3)3</t>
  </si>
  <si>
    <t>CH3COOCCH33</t>
  </si>
  <si>
    <t>dimethylethylethanoat</t>
  </si>
  <si>
    <t>C₆H₅COOCH₃</t>
  </si>
  <si>
    <t>C6H5COOCH3</t>
  </si>
  <si>
    <t>methylbenzoat</t>
  </si>
  <si>
    <t>-343,5</t>
  </si>
  <si>
    <t>C₆H₅COOCH₂CH₃</t>
  </si>
  <si>
    <t>C6H5COOCH2CH3</t>
  </si>
  <si>
    <t>ethylbenzoat</t>
  </si>
  <si>
    <t>C₆H₅COOC₆H₅</t>
  </si>
  <si>
    <t>C6H5COOC6H5</t>
  </si>
  <si>
    <t>phenylbenzoat</t>
  </si>
  <si>
    <t>-241,42</t>
  </si>
  <si>
    <t>C₃H₅N₃O₉</t>
  </si>
  <si>
    <t>C3H5N3O9</t>
  </si>
  <si>
    <t>glyceryltrinitrat</t>
  </si>
  <si>
    <t>s, medsalpetersyre</t>
  </si>
  <si>
    <t>-370,70</t>
  </si>
  <si>
    <t>(CH₃COOCH₂)₂CHOCOCH₃</t>
  </si>
  <si>
    <t>(CH3COOCH2)2CHOCOCH3</t>
  </si>
  <si>
    <t>CH3COOCH22CHOCOCH3</t>
  </si>
  <si>
    <t>glyceryltriethanoat</t>
  </si>
  <si>
    <t>med ethansyre</t>
  </si>
  <si>
    <t>C₃₉H₇₄O₆</t>
  </si>
  <si>
    <t>C39H74O6</t>
  </si>
  <si>
    <t>glyceryltrilaurat</t>
  </si>
  <si>
    <t>s, med dodecansyre</t>
  </si>
  <si>
    <t>-2046</t>
  </si>
  <si>
    <t>C₄₅H₈₆O₆</t>
  </si>
  <si>
    <t>C45H86O6</t>
  </si>
  <si>
    <t>glyceryltrimyristinat</t>
  </si>
  <si>
    <t>s, med tetradecansyre</t>
  </si>
  <si>
    <t>-2176</t>
  </si>
  <si>
    <t>C₅₁H₉₈O₆</t>
  </si>
  <si>
    <t>C51H98O6</t>
  </si>
  <si>
    <t>glyceryltripalmitat</t>
  </si>
  <si>
    <t>med hexadecansyre</t>
  </si>
  <si>
    <t>C₅₇H₁₁₀O₆</t>
  </si>
  <si>
    <t>C57H110O6</t>
  </si>
  <si>
    <t>glyceryltristearat</t>
  </si>
  <si>
    <t>med octadecansyre</t>
  </si>
  <si>
    <t>C₅₇H₁₀₄O₆</t>
  </si>
  <si>
    <t>C57H104O6</t>
  </si>
  <si>
    <t>glyceryltrioleat</t>
  </si>
  <si>
    <t>m. (Z)-octadec-9-ensyre</t>
  </si>
  <si>
    <t>glyceryltrielaidat</t>
  </si>
  <si>
    <t>m.(E)-octadec-9-ensyre</t>
  </si>
  <si>
    <t>C₃H₉O₆P</t>
  </si>
  <si>
    <t>C3H9O6P</t>
  </si>
  <si>
    <t>glyceryl-1-phosphorsyre</t>
  </si>
  <si>
    <t>C₃H₈O₆P⁻</t>
  </si>
  <si>
    <t>C3H8O6P-</t>
  </si>
  <si>
    <t>glyceryl-1-hydrogenphosphat</t>
  </si>
  <si>
    <t>C₃H₇O₆P²⁻</t>
  </si>
  <si>
    <t>C3H7O6P2-</t>
  </si>
  <si>
    <t>glyceryl-1-phosphat</t>
  </si>
  <si>
    <t>C₆H₁₃O₉P</t>
  </si>
  <si>
    <t>C6H13O9P</t>
  </si>
  <si>
    <t>glucose-1-phosphorsyre</t>
  </si>
  <si>
    <t>C₆H₁₂O₉P⁻</t>
  </si>
  <si>
    <t>C6H12O9P-</t>
  </si>
  <si>
    <t>glucose-1-hydrogenphosphat</t>
  </si>
  <si>
    <t>C₆H₁₁O₉P²⁻</t>
  </si>
  <si>
    <t>C6H11O9P2-</t>
  </si>
  <si>
    <t>glucose-1-phosphat</t>
  </si>
  <si>
    <t>glucose-6-phosphorsyre</t>
  </si>
  <si>
    <t>glucose-6-hydrogenphosphat</t>
  </si>
  <si>
    <t>glucose-6-phosphat</t>
  </si>
  <si>
    <t>NH₂CH(CH₃)COOH</t>
  </si>
  <si>
    <t>NH2CH(CH3)COOH</t>
  </si>
  <si>
    <t>NH2CHCH3COOH</t>
  </si>
  <si>
    <t>l-alanin</t>
  </si>
  <si>
    <t>-562,75</t>
  </si>
  <si>
    <t>⁺NH₃CH(CH₃)COO⁻</t>
  </si>
  <si>
    <t>+NH3CH(CH3)COO-</t>
  </si>
  <si>
    <t>+NH3CHCH3COO-</t>
  </si>
  <si>
    <t>-554,80</t>
  </si>
  <si>
    <t>⁺NH₃CH(CH₃)COOH</t>
  </si>
  <si>
    <t>+NH3CH(CH3)COOH</t>
  </si>
  <si>
    <t>+NH3CHCH3COOH</t>
  </si>
  <si>
    <t>l-alaninium</t>
  </si>
  <si>
    <t>-557,94</t>
  </si>
  <si>
    <t>NH₂CH(CH₃)COO⁻</t>
  </si>
  <si>
    <t>NH2CH(CH3)COO-</t>
  </si>
  <si>
    <t>NH2CHCH3COO-</t>
  </si>
  <si>
    <t>l-alaninat</t>
  </si>
  <si>
    <t>-506,61</t>
  </si>
  <si>
    <t>d,l-alanin</t>
  </si>
  <si>
    <t>-563,58</t>
  </si>
  <si>
    <t>NH₂CHCOOH(CH₂)₃-NH-C(NH₂)=NH</t>
  </si>
  <si>
    <t>NH2CHCOOH(CH2)3-NH-C(NH2)=NH</t>
  </si>
  <si>
    <t>NH2CHCOOHCH23-NH-CNH2=NH</t>
  </si>
  <si>
    <t>l-arginin</t>
  </si>
  <si>
    <t>-621,74</t>
  </si>
  <si>
    <t>⁺NH₃CH(R)COO⁻</t>
  </si>
  <si>
    <t>+NH3CH(R)COO-</t>
  </si>
  <si>
    <t>+NH3CHRCOO-</t>
  </si>
  <si>
    <t>-615,47</t>
  </si>
  <si>
    <t>NH₂CH(CH₂-CO-NH₂)COOH</t>
  </si>
  <si>
    <t>NH2CH(CH2-CO-NH2)COOH</t>
  </si>
  <si>
    <t>NH2CHCH2-CO-NH2COOH</t>
  </si>
  <si>
    <t>l-asparagin</t>
  </si>
  <si>
    <t>-790,36</t>
  </si>
  <si>
    <t>⁺NH₃CH(CH₂-CO-NH₂)COO⁻</t>
  </si>
  <si>
    <t>+NH3CH(CH2-CO-NH2)COO-</t>
  </si>
  <si>
    <t>+NH3CHCH2-CO-NH2COO-</t>
  </si>
  <si>
    <t>-766,09</t>
  </si>
  <si>
    <t>⁺NH₃CH(R)COO⁻∙H₂O</t>
  </si>
  <si>
    <t>+NH3CH(R)COO-*H2O</t>
  </si>
  <si>
    <t>+NH3CHRCOO-H2O</t>
  </si>
  <si>
    <t>l-asparaginmonohydrat</t>
  </si>
  <si>
    <t>-1085,75</t>
  </si>
  <si>
    <t>NH₂CHCOOH(CH₂-COOH)</t>
  </si>
  <si>
    <t>NH2CHCOOH(CH2-COOH)</t>
  </si>
  <si>
    <t>NH2CHCOOHCH2-COOH</t>
  </si>
  <si>
    <t>l-asparaginsyre</t>
  </si>
  <si>
    <t>-972,53</t>
  </si>
  <si>
    <t>⁺NH₃CH(CH₂-COOH)COO⁻</t>
  </si>
  <si>
    <t>+NH3CH(CH2-COOH)COO-</t>
  </si>
  <si>
    <t>+NH3CHCH2-COOHCOO-</t>
  </si>
  <si>
    <t>-947,42</t>
  </si>
  <si>
    <t>NH₂CH(CH₂-SH)COOH</t>
  </si>
  <si>
    <t>NH2CH(CH2-SH)COOH</t>
  </si>
  <si>
    <t>NH2CHCH2-SHCOOH</t>
  </si>
  <si>
    <t>l-cystein</t>
  </si>
  <si>
    <t>⁺NH₃CH(CH₂-SH)COO⁻</t>
  </si>
  <si>
    <t>+NH3CH(CH2-SH)COO-</t>
  </si>
  <si>
    <t>+NH3CHCH2-SHCOO-</t>
  </si>
  <si>
    <t>NH₂CHCOOH((CH₂)₂-CO-NH₂)</t>
  </si>
  <si>
    <t>NH2CHCOOH((CH2)2-CO-NH2)</t>
  </si>
  <si>
    <t>NH2CHCOOHCH22-CO-NH2</t>
  </si>
  <si>
    <t>l-glutamin</t>
  </si>
  <si>
    <t>-825,92</t>
  </si>
  <si>
    <t>-805,00</t>
  </si>
  <si>
    <t>NH₂CHCOOH((CH₂)₂-COOH)</t>
  </si>
  <si>
    <t>NH2CHCOOH((CH2)2-COOH)</t>
  </si>
  <si>
    <t>NH2CHCOOHCH22-COOH</t>
  </si>
  <si>
    <t>l-glutaminsyre</t>
  </si>
  <si>
    <t>-1009,18</t>
  </si>
  <si>
    <t>⁺NH₃CH((CH₂)₂-COOH)COO-</t>
  </si>
  <si>
    <t>+NH3CH((CH2)2-COOH)COO-</t>
  </si>
  <si>
    <t>+NH3CHCH22-COOHCOO-</t>
  </si>
  <si>
    <t>-981,98</t>
  </si>
  <si>
    <t>NH₂CHCOOH(CH₂)₂-COOH</t>
  </si>
  <si>
    <t>NH2CHCOOH(CH2)2-COOH</t>
  </si>
  <si>
    <t>d-glutaminsyre</t>
  </si>
  <si>
    <t>-1004,96</t>
  </si>
  <si>
    <t>NH₂CH₂COOH</t>
  </si>
  <si>
    <t>NH2CH2COOH</t>
  </si>
  <si>
    <t>glycin</t>
  </si>
  <si>
    <t>-537,23</t>
  </si>
  <si>
    <t>⁺NH₃CH₂COO⁻</t>
  </si>
  <si>
    <t>+NH3CH2COO-</t>
  </si>
  <si>
    <t>-523,00</t>
  </si>
  <si>
    <t>NH₂CH₂COO⁻</t>
  </si>
  <si>
    <t>NH2CH2COO-</t>
  </si>
  <si>
    <t>glycination</t>
  </si>
  <si>
    <t>-478,65</t>
  </si>
  <si>
    <t>⁺NH₃CH₂COOH</t>
  </si>
  <si>
    <t>+NH3CH2COOH</t>
  </si>
  <si>
    <t>glycinium</t>
  </si>
  <si>
    <t>-527,18</t>
  </si>
  <si>
    <t>C₆H₉N₃O₂</t>
  </si>
  <si>
    <t>C6H9N3O2</t>
  </si>
  <si>
    <t>l-histidin</t>
  </si>
  <si>
    <t>NH₂CHCOOH(CH(CH₃)-CH₂-CH₃)</t>
  </si>
  <si>
    <t>NH2CHCOOH(CH(CH3)-CH2-CH3)</t>
  </si>
  <si>
    <t>NH2CHCOOHCHCH3-CH2-CH3</t>
  </si>
  <si>
    <t>l-isoleucin</t>
  </si>
  <si>
    <t>-635,13</t>
  </si>
  <si>
    <t>Leu-CH₂-CH(CH₃)₂</t>
  </si>
  <si>
    <t>Leu-CH2-CH(CH3)2</t>
  </si>
  <si>
    <t>Leu-CH2-CHCH32</t>
  </si>
  <si>
    <t>l-leucin</t>
  </si>
  <si>
    <t>-646,85</t>
  </si>
  <si>
    <t>⁺NH₃CH(CH₂-CH(CH₃)₂)COO⁻</t>
  </si>
  <si>
    <t>+NH3CH(CH2-CH(CH3)2)COO-</t>
  </si>
  <si>
    <t>+NH3CHCH2-CHCH32COO-</t>
  </si>
  <si>
    <t>-643,37</t>
  </si>
  <si>
    <t>C₆H₁₃NO₂</t>
  </si>
  <si>
    <t>C6H13NO2</t>
  </si>
  <si>
    <t>d-leucin</t>
  </si>
  <si>
    <t>-637,47</t>
  </si>
  <si>
    <t>C₆H₁₄N₂O₂</t>
  </si>
  <si>
    <t>C6H14N2O2</t>
  </si>
  <si>
    <t>d,l-lysin</t>
  </si>
  <si>
    <t>-678,64</t>
  </si>
  <si>
    <t>Met-(CH₂)₂-S-CH₃</t>
  </si>
  <si>
    <t>Met-(CH2)2-S-CH3</t>
  </si>
  <si>
    <t>Met-CH22-S-CH3</t>
  </si>
  <si>
    <t>l-methionin</t>
  </si>
  <si>
    <t>-761,07</t>
  </si>
  <si>
    <t>⁺NH₃CH((CH₂)₂-S-CH₃)COO⁻</t>
  </si>
  <si>
    <t>+NH3CH((CH2)2-S-CH3)COO-</t>
  </si>
  <si>
    <t>+NH3CHCH22-S-CH3COO-</t>
  </si>
  <si>
    <t>-744,33</t>
  </si>
  <si>
    <t>Phe-CH₂-C₆H₅</t>
  </si>
  <si>
    <t>Phe-CH2-C6H5</t>
  </si>
  <si>
    <t>l-phenylalanin</t>
  </si>
  <si>
    <t>-468,19</t>
  </si>
  <si>
    <t>C₅H₉NO₂</t>
  </si>
  <si>
    <t>C5H9NO2</t>
  </si>
  <si>
    <t>l-prolin</t>
  </si>
  <si>
    <t>-525,93</t>
  </si>
  <si>
    <t>C₅H₉NO₃</t>
  </si>
  <si>
    <t>C5H9NO3</t>
  </si>
  <si>
    <t>4-hydroxyprolin</t>
  </si>
  <si>
    <t>-661,47</t>
  </si>
  <si>
    <t>-CH₂-OH</t>
  </si>
  <si>
    <t>-CH2-OH</t>
  </si>
  <si>
    <t>l-serin</t>
  </si>
  <si>
    <t>-726,34</t>
  </si>
  <si>
    <t>NH₂CHCOOH(CHOH-CH₃)</t>
  </si>
  <si>
    <t>NH2CHCOOH(CHOH-CH3)</t>
  </si>
  <si>
    <t>NH2CHCOOHCHOH-CH3</t>
  </si>
  <si>
    <t>l-threonint</t>
  </si>
  <si>
    <t>C₁₁H₁₂N₂O₂</t>
  </si>
  <si>
    <t>C11H12N2O2</t>
  </si>
  <si>
    <t>l-tryptophanw</t>
  </si>
  <si>
    <t>NH₂CHCOOH(CH₂-C₆H₄-OH)</t>
  </si>
  <si>
    <t>NH2CHCOOH(CH2-C6H4-OH)</t>
  </si>
  <si>
    <t>NH2CHCOOHCH2-C6H4-OH</t>
  </si>
  <si>
    <t>l-tyrosiny</t>
  </si>
  <si>
    <t>NH₂CHCOOH(CH(CH₃)₂)</t>
  </si>
  <si>
    <t>NH2CHCOOH(CH(CH3)2)</t>
  </si>
  <si>
    <t>NH2CHCOOHCHCH32</t>
  </si>
  <si>
    <t>l-valinv</t>
  </si>
  <si>
    <t>l-valin</t>
  </si>
  <si>
    <t>⁺NH₃CH(R)COOH</t>
  </si>
  <si>
    <t>+NH3CH(R)COOH</t>
  </si>
  <si>
    <t>+NH3CHRCOOH</t>
  </si>
  <si>
    <t>l-valinium</t>
  </si>
  <si>
    <t>NH₂CH(R)COO⁻</t>
  </si>
  <si>
    <t>NH2CH(R)COO-</t>
  </si>
  <si>
    <t>NH2CHRCOO-</t>
  </si>
  <si>
    <t>l-valinat</t>
  </si>
  <si>
    <t>(CH₃)₂CHCH(NH₂)COOH</t>
  </si>
  <si>
    <t>(CH3)2CHCH(NH2)COOH</t>
  </si>
  <si>
    <t>CH32CHCHNH2COOH</t>
  </si>
  <si>
    <t>d,l-valin</t>
  </si>
  <si>
    <t>H₂NCH₂-CONH-CH₂COOH</t>
  </si>
  <si>
    <t>H2NCH2-CONH-CH2COOH</t>
  </si>
  <si>
    <t>n-glycylglycin</t>
  </si>
  <si>
    <t>⁺NH₃CH₂-CONH-CH₂COO⁻</t>
  </si>
  <si>
    <t>+NH3CH2-CONH-CH2COO-</t>
  </si>
  <si>
    <t>glycylglycin</t>
  </si>
  <si>
    <t>H₂NCH(CH₃)-CONH-CH₂COOH</t>
  </si>
  <si>
    <t>H2NCH(CH3)-CONH-CH2COOH</t>
  </si>
  <si>
    <t>H2NCHCH3-CONH-CH2COOH</t>
  </si>
  <si>
    <t>l-alanylglycin</t>
  </si>
  <si>
    <t>C₆H₅-CONH-CH₂COOH</t>
  </si>
  <si>
    <t>C6H5-CONH-CH2COOH</t>
  </si>
  <si>
    <t>hippursyre</t>
  </si>
  <si>
    <t>H₂NCH₂-CONH-CH(C₃H₇)COOH</t>
  </si>
  <si>
    <t>H2NCH2-CONH-CH(C3H7)COOH</t>
  </si>
  <si>
    <t>H2NCH2-CONH-CHC3H7COOH</t>
  </si>
  <si>
    <t>glycylvalin</t>
  </si>
  <si>
    <t>H₂NCH(C₄H₉)-CONH-CH₂COOH</t>
  </si>
  <si>
    <t>H2NCH(C4H9)-CONH-CH2COOH</t>
  </si>
  <si>
    <t>H2NCHC4H9-CONH-CH2COOH</t>
  </si>
  <si>
    <t>leucylglycin</t>
  </si>
  <si>
    <t>H₂NCH₂-CONH-CH(C₇H₇)COOH</t>
  </si>
  <si>
    <t>H2NCH2-CONH-CH(C7H7)COOH</t>
  </si>
  <si>
    <t>H2NCH2-CONH-CHC7H7COOH</t>
  </si>
  <si>
    <t>glycylphenylalanin</t>
  </si>
  <si>
    <t>CH₃-NH-CH₂COOH</t>
  </si>
  <si>
    <t>CH3-NH-CH2COOH</t>
  </si>
  <si>
    <t>sarcosin</t>
  </si>
  <si>
    <t>H₂NCH₂CH₂COOH</t>
  </si>
  <si>
    <t>H2NCH2CH2COOH</t>
  </si>
  <si>
    <t>3-aminopropansyre</t>
  </si>
  <si>
    <t>NH₂(CH₂)₃COOH</t>
  </si>
  <si>
    <t>NH2(CH2)3COOH</t>
  </si>
  <si>
    <t>NH2CH23COOH</t>
  </si>
  <si>
    <t>4-aminobutansyre</t>
  </si>
  <si>
    <t>NH₂(CH₂)₂SO₃H</t>
  </si>
  <si>
    <t>NH2(CH2)2SO3H</t>
  </si>
  <si>
    <t>NH2CH22SO3H</t>
  </si>
  <si>
    <t>2-aminoethansulfonsyre</t>
  </si>
  <si>
    <t>NH₂(CH₂)₂SO₃⁻</t>
  </si>
  <si>
    <t>NH2(CH2)2SO3-</t>
  </si>
  <si>
    <t>NH2CH22SO3-</t>
  </si>
  <si>
    <t>2-aminoethansulfonation</t>
  </si>
  <si>
    <t>NH₂C₆H₄COOH</t>
  </si>
  <si>
    <t>NH2C6H4COOH</t>
  </si>
  <si>
    <t>antranilsyre</t>
  </si>
  <si>
    <t>2-aminobenzoesyre</t>
  </si>
  <si>
    <t>3-aminobenzoesyre</t>
  </si>
  <si>
    <t>4-aminobenzoesyre</t>
  </si>
  <si>
    <t>CH₃NO₂</t>
  </si>
  <si>
    <t>CH3NO2</t>
  </si>
  <si>
    <t>nitromethan</t>
  </si>
  <si>
    <t>CH₃CH₂NO₂</t>
  </si>
  <si>
    <t>CH3CH2NO2</t>
  </si>
  <si>
    <t>nitroethan</t>
  </si>
  <si>
    <t>CH₃CH₂CH₂NO₂</t>
  </si>
  <si>
    <t>CH3CH2CH2NO2</t>
  </si>
  <si>
    <t>1-nitropropan</t>
  </si>
  <si>
    <t>(CH₃)₂CHNO₂</t>
  </si>
  <si>
    <t>(CH3)2CHNO2</t>
  </si>
  <si>
    <t>CH32CHNO2</t>
  </si>
  <si>
    <t>2-nitropropan</t>
  </si>
  <si>
    <t>C₆H₅NO₂</t>
  </si>
  <si>
    <t>C6H5NO2</t>
  </si>
  <si>
    <t>nitrobenzen</t>
  </si>
  <si>
    <t>CH₃C₆H₄NO₂</t>
  </si>
  <si>
    <t>CH3C6H4NO2</t>
  </si>
  <si>
    <t>2-nitrotoluen</t>
  </si>
  <si>
    <t>3-nitrotoluen</t>
  </si>
  <si>
    <t>4-nitrotoluen</t>
  </si>
  <si>
    <t>C₆H₄(NO₂)₂</t>
  </si>
  <si>
    <t>C6H4(NO2)2</t>
  </si>
  <si>
    <t>C6H4NO22</t>
  </si>
  <si>
    <t>1,2-dinitrobenzen</t>
  </si>
  <si>
    <t>1,3-dinitrobenzen</t>
  </si>
  <si>
    <t>1,4-dinitrobenzen</t>
  </si>
  <si>
    <t>CH₃C₆H₃(NO₂)₂</t>
  </si>
  <si>
    <t>CH3C6H3(NO2)2</t>
  </si>
  <si>
    <t>CH3C6H3NO22</t>
  </si>
  <si>
    <t>2,4-dinitrotoluen</t>
  </si>
  <si>
    <t>2,6-dinitrotoluen</t>
  </si>
  <si>
    <t>NH₂NHC₆H₃(NO₂)₂</t>
  </si>
  <si>
    <t>NH2NHC6H3(NO2)2</t>
  </si>
  <si>
    <t>NH2NHC6H3NO22</t>
  </si>
  <si>
    <t>DNPH</t>
  </si>
  <si>
    <t>2,4-dinitrophenylhydrazin</t>
  </si>
  <si>
    <t>CH₃C₆H₂(NO₂)₃</t>
  </si>
  <si>
    <t>CH3C6H2(NO2)3</t>
  </si>
  <si>
    <t>CH3C6H2NO23</t>
  </si>
  <si>
    <t>tnt</t>
  </si>
  <si>
    <t>2,4,6-trinitrotoluen</t>
  </si>
  <si>
    <t>(CH₃O)₂P(S)SCH((COOC₂H₅)CH₂COOC₂H₅</t>
  </si>
  <si>
    <t>(CH3O)2P(S)SCH((COOC2H5)CH2COOC2H5</t>
  </si>
  <si>
    <t>CH3O2PSSCHCOOC2H5CH2COOC2H5</t>
  </si>
  <si>
    <t>malathion</t>
  </si>
  <si>
    <t>CH₃CH₂SH</t>
  </si>
  <si>
    <t>CH3CH2SH</t>
  </si>
  <si>
    <t>ethanthiol</t>
  </si>
  <si>
    <t>-46,1</t>
  </si>
  <si>
    <t>CH₃CSNH₂</t>
  </si>
  <si>
    <t>CH3CSNH2</t>
  </si>
  <si>
    <t>ethanthioamid</t>
  </si>
  <si>
    <t>-71,7</t>
  </si>
  <si>
    <t>CH₃COSH</t>
  </si>
  <si>
    <t>CH3COSH</t>
  </si>
  <si>
    <t>ethanthiosyre</t>
  </si>
  <si>
    <t>-175,1</t>
  </si>
  <si>
    <t>CH₃CH₂CH₂SH</t>
  </si>
  <si>
    <t>CH3CH2CH2SH</t>
  </si>
  <si>
    <t>propan-1-thiol</t>
  </si>
  <si>
    <t>-99,9</t>
  </si>
  <si>
    <t>(CH₃)₂CHSH</t>
  </si>
  <si>
    <t>(CH3)2CHSH</t>
  </si>
  <si>
    <t>CH32CHSH</t>
  </si>
  <si>
    <t>propan-2-thiol</t>
  </si>
  <si>
    <t>-105,9</t>
  </si>
  <si>
    <t>(CH₃)₂SO</t>
  </si>
  <si>
    <t>(CH3)2SO</t>
  </si>
  <si>
    <t>CH32SO</t>
  </si>
  <si>
    <t>dimethylsulfoxid</t>
  </si>
  <si>
    <t>-204,2</t>
  </si>
  <si>
    <t>C₄H₄S</t>
  </si>
  <si>
    <t>C4H4S</t>
  </si>
  <si>
    <t>thiophen</t>
  </si>
  <si>
    <t>80,2</t>
  </si>
  <si>
    <t>126,1</t>
  </si>
  <si>
    <t>(CH₃CH₂)₂S</t>
  </si>
  <si>
    <t>(CH3CH2)2S</t>
  </si>
  <si>
    <t>CH3CH22S</t>
  </si>
  <si>
    <t>diethylsulfid</t>
  </si>
  <si>
    <t>-119,4</t>
  </si>
  <si>
    <t>C₆H₅SH</t>
  </si>
  <si>
    <t>C6H5SH</t>
  </si>
  <si>
    <t>thiophenol</t>
  </si>
  <si>
    <t>benzenthiol</t>
  </si>
  <si>
    <t>63,7</t>
  </si>
  <si>
    <t>taurin</t>
  </si>
  <si>
    <t>-785,4</t>
  </si>
  <si>
    <t>-761,2</t>
  </si>
  <si>
    <t>2-aminoethansulfonat</t>
  </si>
  <si>
    <t>-719,31</t>
  </si>
  <si>
    <t>(CICH₂CH₂)₂S</t>
  </si>
  <si>
    <t>(CICH2CH2)2S</t>
  </si>
  <si>
    <t>CICH2CH22S</t>
  </si>
  <si>
    <t>sennepsgas</t>
  </si>
  <si>
    <t>bis-(1-chlorethyl)sulfid</t>
  </si>
  <si>
    <t>C₆H₅SO₃H</t>
  </si>
  <si>
    <t>C6H5SO3H</t>
  </si>
  <si>
    <t>benzensulfonsyre</t>
  </si>
  <si>
    <t>CH₃C₆H₄SO₃H</t>
  </si>
  <si>
    <t>CH3C6H4SO3H</t>
  </si>
  <si>
    <t>para-toluen-sulfonsyre</t>
  </si>
  <si>
    <t>4-methylbenzensulfonsyre</t>
  </si>
  <si>
    <t>NH₃C₆H₄SO₃H</t>
  </si>
  <si>
    <t>NH3C6H4SO3H</t>
  </si>
  <si>
    <t>sulfanilsyre</t>
  </si>
  <si>
    <t>4-aminobenzensulfonsyre</t>
  </si>
  <si>
    <t>(C₆H₅)₂S</t>
  </si>
  <si>
    <t>(C6H5)2S</t>
  </si>
  <si>
    <t>C6H52S</t>
  </si>
  <si>
    <t>diphenylsulfid</t>
  </si>
  <si>
    <t>163,59</t>
  </si>
  <si>
    <t>(C₆H₅)₂SO</t>
  </si>
  <si>
    <t>(C6H5)2SO</t>
  </si>
  <si>
    <t>C6H52SO</t>
  </si>
  <si>
    <t>diphenylsulfoxid</t>
  </si>
  <si>
    <t>10,04</t>
  </si>
  <si>
    <t>(C₆H₅)₂SO₂</t>
  </si>
  <si>
    <t>(C6H5)2SO2</t>
  </si>
  <si>
    <t>C6H52SO2</t>
  </si>
  <si>
    <t>diphenylsulfon</t>
  </si>
  <si>
    <t>-224,72</t>
  </si>
  <si>
    <t>(C₂H₅)₂NCS-SS-CSN(C₂H₅)₂</t>
  </si>
  <si>
    <t>(C2H5)2NCS-SS-CSN(C2H5)2</t>
  </si>
  <si>
    <t>C2H52NCS-SS-CSNC2H52</t>
  </si>
  <si>
    <t>antabus</t>
  </si>
  <si>
    <t>tetraethylthiuramdisulfid</t>
  </si>
  <si>
    <t>(NH₄)₂CO₃</t>
  </si>
  <si>
    <t>(NH4)2CO3</t>
  </si>
  <si>
    <t>NH42CO3</t>
  </si>
  <si>
    <t>ammoniumcarbonat</t>
  </si>
  <si>
    <t>Al(NO₃)₃</t>
  </si>
  <si>
    <t>Al(NO3)3</t>
  </si>
  <si>
    <t>AlNO33</t>
  </si>
  <si>
    <t>aluminiumnitrat</t>
  </si>
  <si>
    <t>AlI₃</t>
  </si>
  <si>
    <t>AlI3</t>
  </si>
  <si>
    <t>aluminiumiodid</t>
  </si>
  <si>
    <t>BaI₂</t>
  </si>
  <si>
    <t>BaI2</t>
  </si>
  <si>
    <t>bariumiodid</t>
  </si>
  <si>
    <t>C₂H₂O₂</t>
  </si>
  <si>
    <t>C2H2O2</t>
  </si>
  <si>
    <t>ethyndiol</t>
  </si>
  <si>
    <t>C₂H₅OH</t>
  </si>
  <si>
    <t>C2H5OH</t>
  </si>
  <si>
    <t>ethanol2</t>
  </si>
  <si>
    <t>C₂H₅ONa</t>
  </si>
  <si>
    <t>C2H5ONa</t>
  </si>
  <si>
    <t>natriumethanoat2</t>
  </si>
  <si>
    <t>CaSO₃</t>
  </si>
  <si>
    <t>CaSO3</t>
  </si>
  <si>
    <t>calciumsulfit</t>
  </si>
  <si>
    <t>CH₂(OH)₂</t>
  </si>
  <si>
    <t>CH2(OH)2</t>
  </si>
  <si>
    <t>CH2OH2</t>
  </si>
  <si>
    <t>methandiol</t>
  </si>
  <si>
    <t>CH₂CHOH</t>
  </si>
  <si>
    <t>CH2CHOH</t>
  </si>
  <si>
    <t>ethenol</t>
  </si>
  <si>
    <t>CH₂CO</t>
  </si>
  <si>
    <t>CH2CO</t>
  </si>
  <si>
    <t>keten</t>
  </si>
  <si>
    <t>CH₂O</t>
  </si>
  <si>
    <t>CH2O</t>
  </si>
  <si>
    <t>methanal2</t>
  </si>
  <si>
    <t>CH₃COONa</t>
  </si>
  <si>
    <t>CH3COONa</t>
  </si>
  <si>
    <t>natriumethanoat</t>
  </si>
  <si>
    <t>CH₃OCH₃</t>
  </si>
  <si>
    <t>CH3OCH3</t>
  </si>
  <si>
    <t>dimethylether2</t>
  </si>
  <si>
    <t>Cr(NO₃)₃</t>
  </si>
  <si>
    <t>Cr(NO3)3</t>
  </si>
  <si>
    <t>CrNO33</t>
  </si>
  <si>
    <t>chrom(II)nitrat</t>
  </si>
  <si>
    <t>Cu(NO₃)₂</t>
  </si>
  <si>
    <t>Cu(NO3)2</t>
  </si>
  <si>
    <t>CuNO32</t>
  </si>
  <si>
    <t>kobber(II)nitrat</t>
  </si>
  <si>
    <t>Cu(NO₃)₂∙6H₂O</t>
  </si>
  <si>
    <t>Cu(NO3)2*6H2O</t>
  </si>
  <si>
    <t>CuNO326H2O</t>
  </si>
  <si>
    <t>kobber(III)nitrat-vand(1/6)</t>
  </si>
  <si>
    <t>Fe(OH)₂</t>
  </si>
  <si>
    <t>Fe(OH)2</t>
  </si>
  <si>
    <t>FeOH2</t>
  </si>
  <si>
    <t>jern(II)hydroxid</t>
  </si>
  <si>
    <t>K₃PO₄</t>
  </si>
  <si>
    <t>K3PO4</t>
  </si>
  <si>
    <t>kaliumphosphat</t>
  </si>
  <si>
    <t>LiNO₃</t>
  </si>
  <si>
    <t>LiNO3</t>
  </si>
  <si>
    <t>lithiumnitrat</t>
  </si>
  <si>
    <t>Mn(NO₃)₂</t>
  </si>
  <si>
    <t>Mn(NO3)2</t>
  </si>
  <si>
    <t>MnNO32</t>
  </si>
  <si>
    <t>mangan(II)nitrat</t>
  </si>
  <si>
    <t>Na₂HPO₃</t>
  </si>
  <si>
    <t>Na2HPO3</t>
  </si>
  <si>
    <t>natriumhydrogenphosphit</t>
  </si>
  <si>
    <t>Na₂HPO₄</t>
  </si>
  <si>
    <t>Na2HPO4</t>
  </si>
  <si>
    <t>dinatriumhydrogenphosphat</t>
  </si>
  <si>
    <t>NaH₂PO₄</t>
  </si>
  <si>
    <t>NaH2PO4</t>
  </si>
  <si>
    <t>natriumdihydrogenphosphat</t>
  </si>
  <si>
    <t>NH₄OH</t>
  </si>
  <si>
    <t>NH4OH</t>
  </si>
  <si>
    <t>ammoniumhydroxid</t>
  </si>
  <si>
    <t>NI₃</t>
  </si>
  <si>
    <t>NI3</t>
  </si>
  <si>
    <t>nitrogentriiodid</t>
  </si>
  <si>
    <t>NO₂⁺</t>
  </si>
  <si>
    <t>NO2+</t>
  </si>
  <si>
    <t>nitroniumion</t>
  </si>
  <si>
    <t>nitronium</t>
  </si>
  <si>
    <t>N³⁻</t>
  </si>
  <si>
    <t>N3-</t>
  </si>
  <si>
    <t>nitrid</t>
  </si>
  <si>
    <t>Cr(NO₃)₂</t>
  </si>
  <si>
    <t>Cr(NO3)2</t>
  </si>
  <si>
    <t>CrNO32</t>
  </si>
  <si>
    <t>Fe(NO₂)₂</t>
  </si>
  <si>
    <t>Fe(NO2)2</t>
  </si>
  <si>
    <t>FeNO22</t>
  </si>
  <si>
    <t>jern(II)nitrit</t>
  </si>
  <si>
    <t>Fe(NO₃)₂</t>
  </si>
  <si>
    <t>Fe(NO3)2</t>
  </si>
  <si>
    <t>FeNO32</t>
  </si>
  <si>
    <t>jern(III)nitrit</t>
  </si>
  <si>
    <t>FeSO₃</t>
  </si>
  <si>
    <t>FeSO3</t>
  </si>
  <si>
    <t>jern(II)sulfit</t>
  </si>
  <si>
    <t>FeSO₄</t>
  </si>
  <si>
    <t>FeSO4</t>
  </si>
  <si>
    <t>jern(II)sulfat</t>
  </si>
  <si>
    <t>Fe(NO₂)₃</t>
  </si>
  <si>
    <t>Fe(NO2)3</t>
  </si>
  <si>
    <t>FeNO23</t>
  </si>
  <si>
    <t>Fe(NO₃)₃</t>
  </si>
  <si>
    <t>Fe(NO3)3</t>
  </si>
  <si>
    <t>FeNO33</t>
  </si>
  <si>
    <t>jern(III)nitrat</t>
  </si>
  <si>
    <t>Co(NO₂)₃</t>
  </si>
  <si>
    <t>Co(NO2)3</t>
  </si>
  <si>
    <t>CoNO23</t>
  </si>
  <si>
    <t>cobalt(III)nitrit)</t>
  </si>
  <si>
    <t>Ni(NO₃)₂</t>
  </si>
  <si>
    <t>Ni(NO3)2</t>
  </si>
  <si>
    <t>NiNO32</t>
  </si>
  <si>
    <t>nikkel(II)nitrat</t>
  </si>
  <si>
    <t>CuNO₃</t>
  </si>
  <si>
    <t>CuNO3</t>
  </si>
  <si>
    <t>Cu₃PO₄</t>
  </si>
  <si>
    <t>Cu3PO4</t>
  </si>
  <si>
    <t>kobber(I)phosphat</t>
  </si>
  <si>
    <t>CuI₂</t>
  </si>
  <si>
    <t>CuI2</t>
  </si>
  <si>
    <t>kobber(II)iodid</t>
  </si>
  <si>
    <t>Au(NO₃)₃</t>
  </si>
  <si>
    <t>Au(NO3)3</t>
  </si>
  <si>
    <t>AuNO33</t>
  </si>
  <si>
    <t>guld(III)nitrat</t>
  </si>
  <si>
    <t>Hg(NO₃)₂</t>
  </si>
  <si>
    <t>Hg(NO3)2</t>
  </si>
  <si>
    <t>HgNO32</t>
  </si>
  <si>
    <t>kviksølv(II)nitrat</t>
  </si>
  <si>
    <t>Pb(NO₃)₄</t>
  </si>
  <si>
    <t>Pb(NO3)4</t>
  </si>
  <si>
    <t>PbNO34</t>
  </si>
  <si>
    <t>bly(IV)nitrat</t>
  </si>
  <si>
    <t>(NH₄)₂O</t>
  </si>
  <si>
    <t>(NH4)2O</t>
  </si>
  <si>
    <t>NH42O</t>
  </si>
  <si>
    <t>ammoniumoxid</t>
  </si>
  <si>
    <t>(NH₄)₂S</t>
  </si>
  <si>
    <t>(NH4)2S</t>
  </si>
  <si>
    <t>NH42S</t>
  </si>
  <si>
    <t>ammoniumsulfid</t>
  </si>
  <si>
    <t>NH₄F</t>
  </si>
  <si>
    <t>NH4F</t>
  </si>
  <si>
    <t>ammoniumfluorid</t>
  </si>
  <si>
    <t>NH₄I</t>
  </si>
  <si>
    <t>NH4I</t>
  </si>
  <si>
    <t>ammoniumiodid</t>
  </si>
  <si>
    <t>FeSCN²⁺</t>
  </si>
  <si>
    <t>FeSCN2+</t>
  </si>
  <si>
    <t>teaterblod</t>
  </si>
  <si>
    <t>thiocyanatojern(III)ion</t>
  </si>
  <si>
    <t>(NH₄)₃N</t>
  </si>
  <si>
    <t>(NH4)3N</t>
  </si>
  <si>
    <t>NH43N</t>
  </si>
  <si>
    <t>ammoniumnitrid</t>
  </si>
  <si>
    <t>(NH₄)₃PO₄</t>
  </si>
  <si>
    <t>(NH4)3PO4</t>
  </si>
  <si>
    <t>NH43PO4</t>
  </si>
  <si>
    <t>ammoniumphosphat</t>
  </si>
  <si>
    <t>AgN₃</t>
  </si>
  <si>
    <t>AgN3</t>
  </si>
  <si>
    <t>sølv(I)azid</t>
  </si>
  <si>
    <t>sølvazid</t>
  </si>
  <si>
    <t>Ba₃N₂</t>
  </si>
  <si>
    <t>Ba3N2</t>
  </si>
  <si>
    <t>bariumnitrid</t>
  </si>
  <si>
    <t>BaSO₃</t>
  </si>
  <si>
    <t>BaSO3</t>
  </si>
  <si>
    <t>bariumsulfit</t>
  </si>
  <si>
    <t>CH₃CN</t>
  </si>
  <si>
    <t>CH3CN</t>
  </si>
  <si>
    <t>acetonitril</t>
  </si>
  <si>
    <t>CuBr₂</t>
  </si>
  <si>
    <t>CuBr2</t>
  </si>
  <si>
    <t>kobber(II)bromid</t>
  </si>
  <si>
    <t>CuF₂</t>
  </si>
  <si>
    <t>CuF2</t>
  </si>
  <si>
    <t>kobber(II)flourid</t>
  </si>
  <si>
    <t>FeI₂</t>
  </si>
  <si>
    <t>FeI2</t>
  </si>
  <si>
    <t>jern(II)iodid</t>
  </si>
  <si>
    <t>FeI₃</t>
  </si>
  <si>
    <t>FeI3</t>
  </si>
  <si>
    <t>jern(III)iodid</t>
  </si>
  <si>
    <t>HBrO₃</t>
  </si>
  <si>
    <t>HBrO3</t>
  </si>
  <si>
    <t>hydrogenbromat</t>
  </si>
  <si>
    <t>K₂SO₃</t>
  </si>
  <si>
    <t>K2SO3</t>
  </si>
  <si>
    <t>kaliumsulfit</t>
  </si>
  <si>
    <t>K₃PO₃</t>
  </si>
  <si>
    <t>K3PO3</t>
  </si>
  <si>
    <t>kaliumphophit</t>
  </si>
  <si>
    <t>KClO₂</t>
  </si>
  <si>
    <t>KClO2</t>
  </si>
  <si>
    <t>kaliumchlorit</t>
  </si>
  <si>
    <t>Li₂S</t>
  </si>
  <si>
    <t>Li2S</t>
  </si>
  <si>
    <t>lithiumsulfid</t>
  </si>
  <si>
    <t>Mg(NO₂)₂</t>
  </si>
  <si>
    <t>Mg(NO2)2</t>
  </si>
  <si>
    <t>MgNO22</t>
  </si>
  <si>
    <t>MgSO₃</t>
  </si>
  <si>
    <t>MgSO3</t>
  </si>
  <si>
    <t>magnesiumsulfit</t>
  </si>
  <si>
    <t>Na₃PO₃</t>
  </si>
  <si>
    <t>Na3PO3</t>
  </si>
  <si>
    <t>natriumphophit</t>
  </si>
  <si>
    <t>Na₃PO₄</t>
  </si>
  <si>
    <t>Na3PO4</t>
  </si>
  <si>
    <t>natriumphosphat</t>
  </si>
  <si>
    <t>NH₂COOH</t>
  </si>
  <si>
    <t>NH2COOH</t>
  </si>
  <si>
    <t>aminomyresyre</t>
  </si>
  <si>
    <t>carbaminsyre</t>
  </si>
  <si>
    <t>NH₄Br</t>
  </si>
  <si>
    <t>NH4Br</t>
  </si>
  <si>
    <t>ammoniumbromid</t>
  </si>
  <si>
    <t>Zn₃N₂</t>
  </si>
  <si>
    <t>Zn3N2</t>
  </si>
  <si>
    <t>zinknitrid</t>
  </si>
  <si>
    <t>Zn₃P₂</t>
  </si>
  <si>
    <t>Zn3P2</t>
  </si>
  <si>
    <t>zinkphosphid</t>
  </si>
  <si>
    <t>HBO₃²⁻</t>
  </si>
  <si>
    <t>HBO32-</t>
  </si>
  <si>
    <t>hydrogenborat</t>
  </si>
  <si>
    <t>Na₃P</t>
  </si>
  <si>
    <t>Na3P</t>
  </si>
  <si>
    <t>natriumphosphid</t>
  </si>
  <si>
    <t>K₃N</t>
  </si>
  <si>
    <t>K3N</t>
  </si>
  <si>
    <t>kaliumnitrid</t>
  </si>
  <si>
    <t>K₃P</t>
  </si>
  <si>
    <t>K3P</t>
  </si>
  <si>
    <t>kaliumphosphid</t>
  </si>
  <si>
    <t>Ba₃P₂</t>
  </si>
  <si>
    <t>Ba3P2</t>
  </si>
  <si>
    <t>bariumphosphid</t>
  </si>
  <si>
    <t>BaF₂</t>
  </si>
  <si>
    <t>BaF2</t>
  </si>
  <si>
    <t>bariumflourid</t>
  </si>
  <si>
    <t>Fe₃N₂</t>
  </si>
  <si>
    <t>Fe3N2</t>
  </si>
  <si>
    <t>jern(II)nitrid</t>
  </si>
  <si>
    <t>Fe₃P₂</t>
  </si>
  <si>
    <t>Fe3P2</t>
  </si>
  <si>
    <t>jern(II)phosphid</t>
  </si>
  <si>
    <t>FeF₃</t>
  </si>
  <si>
    <t>FeF3</t>
  </si>
  <si>
    <t>jern(III)flourid</t>
  </si>
  <si>
    <t>CuCO₃</t>
  </si>
  <si>
    <t>CuCO3</t>
  </si>
  <si>
    <t>kobber(II)carbonat</t>
  </si>
  <si>
    <t>CuSO₃</t>
  </si>
  <si>
    <t>CuSO3</t>
  </si>
  <si>
    <t>kobber(II)sulfit</t>
  </si>
  <si>
    <t>Cu₃N₂</t>
  </si>
  <si>
    <t>Cu3N2</t>
  </si>
  <si>
    <t>kobber(II)nitrid</t>
  </si>
  <si>
    <t>Cu₃P₂</t>
  </si>
  <si>
    <t>Cu3P2</t>
  </si>
  <si>
    <t>kobber(II)phosphid</t>
  </si>
  <si>
    <t>Pb(CO₃)₂</t>
  </si>
  <si>
    <t>Pb(CO3)2</t>
  </si>
  <si>
    <t>PbCO32</t>
  </si>
  <si>
    <t>bly(IV)carbonat</t>
  </si>
  <si>
    <t>PbS₂</t>
  </si>
  <si>
    <t>PbS2</t>
  </si>
  <si>
    <t>bly(IV)sulfid</t>
  </si>
  <si>
    <t>PbI₄</t>
  </si>
  <si>
    <t>PbI4</t>
  </si>
  <si>
    <t>bly(IV)iodid</t>
  </si>
  <si>
    <t>C₆H₁₃Br</t>
  </si>
  <si>
    <t>C6H13Br</t>
  </si>
  <si>
    <t>bromhexan</t>
  </si>
  <si>
    <t>1-bromhexan</t>
  </si>
  <si>
    <t>C₇H₁₅Br</t>
  </si>
  <si>
    <t>C7H15Br</t>
  </si>
  <si>
    <t>bromheptan</t>
  </si>
  <si>
    <t>1-bromheptan</t>
  </si>
  <si>
    <t>Cu(NH₃)₄²⁺</t>
  </si>
  <si>
    <t>Cu(NH3)42+</t>
  </si>
  <si>
    <t>CuNH342+</t>
  </si>
  <si>
    <t>kobber(II)tetraamin</t>
  </si>
  <si>
    <t>tetraaminkobber(II)ion</t>
  </si>
  <si>
    <t>Ag(NH₃)₂⁺</t>
  </si>
  <si>
    <t>Ag(NH3)2+</t>
  </si>
  <si>
    <t>AgNH32+</t>
  </si>
  <si>
    <t>sølvdiamin</t>
  </si>
  <si>
    <t>diamminsølv(I)ion</t>
  </si>
  <si>
    <t>Fe(H₂O)₆³⁺</t>
  </si>
  <si>
    <t>Fe(H2O)63+</t>
  </si>
  <si>
    <t>FeH2O63+</t>
  </si>
  <si>
    <t>jern(III)hexahydrat</t>
  </si>
  <si>
    <t>hexahydratjern(III)ion</t>
  </si>
  <si>
    <t>CuCl₄²⁻</t>
  </si>
  <si>
    <t>CuCl42-</t>
  </si>
  <si>
    <t>kobber(II)tetrachlorid</t>
  </si>
  <si>
    <t>tetrachloridkobber(II)ion</t>
  </si>
  <si>
    <t>Cl₂H₂CaO₄</t>
  </si>
  <si>
    <t>Cl2H2CaO4</t>
  </si>
  <si>
    <t>calciummethanoat</t>
  </si>
  <si>
    <t>C₄H₈S</t>
  </si>
  <si>
    <t>C4H8S</t>
  </si>
  <si>
    <t>allylmethylsulfid</t>
  </si>
  <si>
    <t>3-methylthioprop-1-en</t>
  </si>
  <si>
    <t>Fe(OH)₃</t>
  </si>
  <si>
    <t>Fe(OH)3</t>
  </si>
  <si>
    <t>FeOH3</t>
  </si>
  <si>
    <t>jern(III)hydroxid</t>
  </si>
  <si>
    <t>natriumamid</t>
  </si>
  <si>
    <t>Fe₃(PO₄)₂</t>
  </si>
  <si>
    <t>Fe3(PO4)2</t>
  </si>
  <si>
    <t>Fe3PO42</t>
  </si>
  <si>
    <t>jern(II)phosphat</t>
  </si>
  <si>
    <t>C₆H₇O₆⁻</t>
  </si>
  <si>
    <t>C6H7O6-</t>
  </si>
  <si>
    <t>ascorbat</t>
  </si>
  <si>
    <t>Grundstoftype</t>
  </si>
  <si>
    <t>korrekt grundstof?</t>
  </si>
  <si>
    <t>masse i 1 g stof</t>
  </si>
  <si>
    <t>Molarmasse</t>
  </si>
  <si>
    <t>stofmængde i 1 g</t>
  </si>
  <si>
    <t>n i forhold til laveste n</t>
  </si>
  <si>
    <t>n-forhold med værdier</t>
  </si>
  <si>
    <t>Er værdien heltal?</t>
  </si>
  <si>
    <t>Hvad skal ganges med?</t>
  </si>
  <si>
    <t>afvigelsesprocent</t>
  </si>
  <si>
    <t>Formel</t>
  </si>
  <si>
    <t>Opgangningsfaktor</t>
  </si>
  <si>
    <t>M(empirisk)</t>
  </si>
  <si>
    <t>molekylformel</t>
  </si>
  <si>
    <t>Er data klar?</t>
  </si>
  <si>
    <t>Mindst værdi</t>
  </si>
  <si>
    <t>Mindste faktor</t>
  </si>
  <si>
    <t>facit empirisk formel</t>
  </si>
  <si>
    <t>Gangefaktor til molekylformel</t>
  </si>
  <si>
    <t>Facit molekylformel</t>
  </si>
  <si>
    <t>Grundstof</t>
  </si>
  <si>
    <t>₀</t>
  </si>
  <si>
    <t>Aluminium</t>
  </si>
  <si>
    <t>Kemisk symbol</t>
  </si>
  <si>
    <t>Masseprocent</t>
  </si>
  <si>
    <t>₁</t>
  </si>
  <si>
    <t>Calcium</t>
  </si>
  <si>
    <t>Indtast eventuel molarmasse</t>
  </si>
  <si>
    <t>flour</t>
  </si>
  <si>
    <t>Afvigelse:</t>
  </si>
  <si>
    <t>Den empiriske formel er:</t>
  </si>
  <si>
    <t>TERMODYNAMIK-SUPERSKABELON</t>
  </si>
  <si>
    <t>Kemisk formel for stof:</t>
  </si>
  <si>
    <t>Aktivt stof</t>
  </si>
  <si>
    <t>Enhed for konc af stof</t>
  </si>
  <si>
    <t>Koncentrationsenhed</t>
  </si>
  <si>
    <t>Enhed for tiden</t>
  </si>
  <si>
    <t>R²</t>
  </si>
  <si>
    <t>Tidsenhed</t>
  </si>
  <si>
    <t>antal betydende cifre</t>
  </si>
  <si>
    <t>k =</t>
  </si>
  <si>
    <t>Hvilken størrelse afbildes</t>
  </si>
  <si>
    <t>Hastighedsudtryk:</t>
  </si>
  <si>
    <t>SUPERSKABELON FOR AKTIVERINGSENERGI</t>
  </si>
  <si>
    <t xml:space="preserve">Arrheniusligning: ln(k) = -Eₐ/R ∙ 1/T + ln(k₀) </t>
  </si>
  <si>
    <t>Enhed for hastighedskonstant, k</t>
  </si>
  <si>
    <t>Enhed for temperaturen</t>
  </si>
  <si>
    <t>R²-værdi =</t>
  </si>
  <si>
    <t>Hældning (a) =</t>
  </si>
  <si>
    <t>Arrhenius-plottet bliver i dette tilfælde:</t>
  </si>
  <si>
    <t>T / K</t>
  </si>
  <si>
    <t xml:space="preserve">Eₐ= </t>
  </si>
  <si>
    <t>Ud fra arrheniusligningen gælder: b = ln(k₀)</t>
  </si>
  <si>
    <t>skæring med y-aksen (b)</t>
  </si>
  <si>
    <t>k₀</t>
  </si>
  <si>
    <t>Forskrift fra ΔG° (i kJ/mol) vs T plot</t>
  </si>
  <si>
    <t>b</t>
  </si>
  <si>
    <t>a</t>
  </si>
  <si>
    <t>Indtast informationer:</t>
  </si>
  <si>
    <t>Betydende cifre:</t>
  </si>
  <si>
    <t>cₛ</t>
  </si>
  <si>
    <r>
      <t>c</t>
    </r>
    <r>
      <rPr>
        <sz val="8"/>
        <color theme="1"/>
        <rFont val="Calibri"/>
        <family val="2"/>
        <scheme val="minor"/>
      </rPr>
      <t>b</t>
    </r>
  </si>
  <si>
    <t>Kₛ</t>
  </si>
  <si>
    <r>
      <t>K</t>
    </r>
    <r>
      <rPr>
        <sz val="8"/>
        <color theme="1"/>
        <rFont val="Calibri"/>
        <family val="2"/>
        <scheme val="minor"/>
      </rPr>
      <t>b</t>
    </r>
  </si>
  <si>
    <t>K(s)-direkte</t>
  </si>
  <si>
    <t xml:space="preserve">pKₛ </t>
  </si>
  <si>
    <r>
      <t>pK</t>
    </r>
    <r>
      <rPr>
        <sz val="8"/>
        <color theme="1"/>
        <rFont val="Calibri"/>
        <family val="2"/>
        <scheme val="minor"/>
      </rPr>
      <t>b</t>
    </r>
  </si>
  <si>
    <t>K(s) fra pKs</t>
  </si>
  <si>
    <t>pH</t>
  </si>
  <si>
    <t>pOH</t>
  </si>
  <si>
    <t>K(s) fra K(b)</t>
  </si>
  <si>
    <t>[H₃O⁺]</t>
  </si>
  <si>
    <t>[OH⁻]</t>
  </si>
  <si>
    <t>K(s) fra pK(b)</t>
  </si>
  <si>
    <t>Beregnet K(s)</t>
  </si>
  <si>
    <t>Beregnet pK(s)</t>
  </si>
  <si>
    <t>Betydende cifre</t>
  </si>
  <si>
    <t>K(b)-direkte</t>
  </si>
  <si>
    <t>Beregnede værdier</t>
  </si>
  <si>
    <t>K(b) fra pK(b)</t>
  </si>
  <si>
    <t>Talværdi</t>
  </si>
  <si>
    <t>K(b) fra K(s)</t>
  </si>
  <si>
    <t>K(b) fra pK(s)</t>
  </si>
  <si>
    <t>Beregnet K(b)</t>
  </si>
  <si>
    <t>Beregnet pK(b)</t>
  </si>
  <si>
    <t>[H₃O⁺]-direkte</t>
  </si>
  <si>
    <t>[H₃O⁺] fra pH</t>
  </si>
  <si>
    <t>[H₃O⁺] fra Ks og cs</t>
  </si>
  <si>
    <t>[H₃O⁺] fra pOH</t>
  </si>
  <si>
    <t>[H₃O⁺] fra [OH⁻]</t>
  </si>
  <si>
    <t>[H₃O⁺] fra Kb og cb</t>
  </si>
  <si>
    <t>Beregnet [H₃O⁺]</t>
  </si>
  <si>
    <t>Beregnet pH</t>
  </si>
  <si>
    <t>[OH⁻]-direkte</t>
  </si>
  <si>
    <t>[OH⁻] fra pOH</t>
  </si>
  <si>
    <t>[OH⁻] fra Ks og cs</t>
  </si>
  <si>
    <t>[OH⁻] fra pH</t>
  </si>
  <si>
    <t>[OH⁻] fra [H₃O⁺]</t>
  </si>
  <si>
    <t>Beregnet [OH⁻]</t>
  </si>
  <si>
    <t>Beregnet pOH</t>
  </si>
  <si>
    <t>cs-direkte</t>
  </si>
  <si>
    <t>cs fra Ks og [H₃O⁺]</t>
  </si>
  <si>
    <t>Beregnet cs</t>
  </si>
  <si>
    <t>cb-direkte</t>
  </si>
  <si>
    <t>cb fra Kb og [OH⁻]</t>
  </si>
  <si>
    <t>Beregnet cb</t>
  </si>
  <si>
    <t>⁻⁶</t>
  </si>
  <si>
    <t>⁻⁵</t>
  </si>
  <si>
    <t>E-19</t>
  </si>
  <si>
    <t>E-18</t>
  </si>
  <si>
    <t>E-17</t>
  </si>
  <si>
    <t>E-16</t>
  </si>
  <si>
    <t>E-15</t>
  </si>
  <si>
    <t>E-14</t>
  </si>
  <si>
    <t>E-13</t>
  </si>
  <si>
    <t>E-12</t>
  </si>
  <si>
    <t>E-11</t>
  </si>
  <si>
    <t>E-10</t>
  </si>
  <si>
    <t>E-09</t>
  </si>
  <si>
    <t>E-08</t>
  </si>
  <si>
    <t>E-07</t>
  </si>
  <si>
    <t>E-06</t>
  </si>
  <si>
    <t>E-05</t>
  </si>
  <si>
    <t>E-04</t>
  </si>
  <si>
    <t>E-03</t>
  </si>
  <si>
    <t>E-02</t>
  </si>
  <si>
    <t>E-01</t>
  </si>
  <si>
    <t>E+00</t>
  </si>
  <si>
    <t>E+01</t>
  </si>
  <si>
    <t>E+02</t>
  </si>
  <si>
    <t>E+03</t>
  </si>
  <si>
    <t>E+04</t>
  </si>
  <si>
    <t>E+05</t>
  </si>
  <si>
    <t>E+06</t>
  </si>
  <si>
    <t>E+07</t>
  </si>
  <si>
    <t>E+08</t>
  </si>
  <si>
    <t>E+09</t>
  </si>
  <si>
    <t>E+10</t>
  </si>
  <si>
    <t>E+11</t>
  </si>
  <si>
    <t>E+12</t>
  </si>
  <si>
    <t>E+13</t>
  </si>
  <si>
    <t>E+14</t>
  </si>
  <si>
    <t>E+15</t>
  </si>
  <si>
    <t>E+16</t>
  </si>
  <si>
    <t>E+17</t>
  </si>
  <si>
    <t>E+18</t>
  </si>
  <si>
    <t>E+19</t>
  </si>
  <si>
    <t>E+20</t>
  </si>
  <si>
    <t>betydende cifre</t>
  </si>
  <si>
    <t>Indsæt datas for tid og koncentration i kolonne b og c (mørkeblå) nedenfor:</t>
  </si>
  <si>
    <t>∙10⁻¹⁹</t>
  </si>
  <si>
    <t>∙10⁻¹⁸</t>
  </si>
  <si>
    <t>∙10⁻¹⁷</t>
  </si>
  <si>
    <t>∙10⁻¹⁶</t>
  </si>
  <si>
    <t>∙10⁻¹⁵</t>
  </si>
  <si>
    <t>∙10⁻¹⁴</t>
  </si>
  <si>
    <t>∙10⁻¹³</t>
  </si>
  <si>
    <t>∙10⁻¹²</t>
  </si>
  <si>
    <t>∙10⁻¹¹</t>
  </si>
  <si>
    <t>∙10⁻¹⁰</t>
  </si>
  <si>
    <t>∙10⁻⁹</t>
  </si>
  <si>
    <t>∙10⁻⁸</t>
  </si>
  <si>
    <t>∙10⁻⁷</t>
  </si>
  <si>
    <t>∙10⁻⁶</t>
  </si>
  <si>
    <t>∙10⁻⁵</t>
  </si>
  <si>
    <t>∙10⁻⁴</t>
  </si>
  <si>
    <t>∙10⁻³</t>
  </si>
  <si>
    <t>∙10⁻²</t>
  </si>
  <si>
    <t>∙10⁻¹</t>
  </si>
  <si>
    <t>∙10¹</t>
  </si>
  <si>
    <t>∙10²</t>
  </si>
  <si>
    <t>∙10³</t>
  </si>
  <si>
    <t>∙10⁴</t>
  </si>
  <si>
    <t>∙10⁵</t>
  </si>
  <si>
    <t>∙10⁶</t>
  </si>
  <si>
    <t>∙10⁷</t>
  </si>
  <si>
    <t>∙10⁸</t>
  </si>
  <si>
    <t>∙10⁹</t>
  </si>
  <si>
    <t>∙10¹⁰</t>
  </si>
  <si>
    <t>∙10¹¹</t>
  </si>
  <si>
    <t>∙10¹²</t>
  </si>
  <si>
    <t>∙10¹³</t>
  </si>
  <si>
    <t>∙10¹⁴</t>
  </si>
  <si>
    <t>∙10¹⁵</t>
  </si>
  <si>
    <t>∙10¹⁶</t>
  </si>
  <si>
    <t>∙10¹⁷</t>
  </si>
  <si>
    <t>∙10¹⁸</t>
  </si>
  <si>
    <t>∙10¹⁹</t>
  </si>
  <si>
    <t>∙10²⁰</t>
  </si>
  <si>
    <t xml:space="preserve"> kJ/mol</t>
  </si>
  <si>
    <t>Afrundet</t>
  </si>
  <si>
    <t>potensomskrevet</t>
  </si>
  <si>
    <t>Forskrift</t>
  </si>
  <si>
    <t>Ifølge arrheniusligningen gælder: a = -Eₐ/R</t>
  </si>
  <si>
    <t>enhed</t>
  </si>
  <si>
    <t>pæn potens</t>
  </si>
  <si>
    <t>Opløsning med monohydron syre eller base</t>
  </si>
  <si>
    <t>^(-1)</t>
  </si>
  <si>
    <t>^(-2)</t>
  </si>
  <si>
    <t>^(-3)</t>
  </si>
  <si>
    <t>^(-4)</t>
  </si>
  <si>
    <t>^(-5)</t>
  </si>
  <si>
    <t>^(-6)</t>
  </si>
  <si>
    <t>Hældning fra Vant hoff</t>
  </si>
  <si>
    <t>B-led fra Vant hoff</t>
  </si>
  <si>
    <t>ln(K, 298)</t>
  </si>
  <si>
    <t>ln(K, T)</t>
  </si>
  <si>
    <t>Bug : e+204  =&gt; 10²⁰4</t>
  </si>
  <si>
    <t>maxrange</t>
  </si>
  <si>
    <t>s2</t>
  </si>
  <si>
    <t>s,beta</t>
  </si>
  <si>
    <t>g,Z</t>
  </si>
  <si>
    <t>g,E</t>
  </si>
  <si>
    <t>l,alfa</t>
  </si>
  <si>
    <t>l,beta</t>
  </si>
  <si>
    <t>g,m</t>
  </si>
  <si>
    <t>l,o</t>
  </si>
  <si>
    <t>g,o</t>
  </si>
  <si>
    <t>l,m</t>
  </si>
  <si>
    <t>s,phenanthren</t>
  </si>
  <si>
    <t>l,E</t>
  </si>
  <si>
    <t>l,Z</t>
  </si>
  <si>
    <t>Brøk af rest</t>
  </si>
  <si>
    <t>Højeste divisor</t>
  </si>
  <si>
    <t>Mindste gangefaktor</t>
  </si>
  <si>
    <t>Nd</t>
  </si>
  <si>
    <t>Neodymium</t>
  </si>
  <si>
    <t>ALTERNATIV METODE ud genkendelse</t>
  </si>
  <si>
    <t>Opskriv symboler i samme rækkefølge som opgaven</t>
  </si>
  <si>
    <t>Samlet gangefaktor</t>
  </si>
  <si>
    <t>Afvigelse</t>
  </si>
  <si>
    <t>METODE 1 - Afvigelsesgenkendelse</t>
  </si>
  <si>
    <t>Metode 2 - Brøkrest-genkendelse</t>
  </si>
  <si>
    <t>Rest af forhold</t>
  </si>
  <si>
    <t>Elementaranalyse til empirisk-/ molekylformel Version 2 (21. nov 2024)</t>
  </si>
  <si>
    <t>Opskrivning af Dataværdier</t>
  </si>
  <si>
    <t>Til Almindelig pH-beregning</t>
  </si>
  <si>
    <t>Til Puffer pH-beregning</t>
  </si>
  <si>
    <t>Potenser</t>
  </si>
  <si>
    <t>[H₃O⁺] fra KS, ns og nb</t>
  </si>
  <si>
    <t>[S]</t>
  </si>
  <si>
    <t>[B]</t>
  </si>
  <si>
    <t>[H₃O⁺] fra Ks,[S]og [B]</t>
  </si>
  <si>
    <t>Både ns og nb og Ks</t>
  </si>
  <si>
    <t>Både [S] og [B] og Ks</t>
  </si>
  <si>
    <t>(H₃O⁺ eller pH), KS og [B]</t>
  </si>
  <si>
    <t>(H₃O⁺ eller pH), KS og [S]</t>
  </si>
  <si>
    <t>[S] direkte</t>
  </si>
  <si>
    <t>[B]-direkte</t>
  </si>
  <si>
    <t>[S] ud fra [B], Ks og [H₃O⁺]</t>
  </si>
  <si>
    <t xml:space="preserve">[B] fra Ks, [S] og [H₃O⁺] </t>
  </si>
  <si>
    <t>Opløsning med pufferopløsning (BETA)</t>
  </si>
  <si>
    <t>[S]-efter</t>
  </si>
  <si>
    <t>[B]-efter</t>
  </si>
  <si>
    <t>nₛ-efter</t>
  </si>
  <si>
    <r>
      <t>n</t>
    </r>
    <r>
      <rPr>
        <sz val="8"/>
        <color theme="1"/>
        <rFont val="Calibri"/>
        <family val="2"/>
        <scheme val="minor"/>
      </rPr>
      <t>b</t>
    </r>
    <r>
      <rPr>
        <sz val="11"/>
        <color theme="1"/>
        <rFont val="Calibri"/>
        <family val="2"/>
        <scheme val="minor"/>
      </rPr>
      <t>-efter</t>
    </r>
  </si>
  <si>
    <t>nₛ  direkte</t>
  </si>
  <si>
    <t>(H₃O⁺ eller pH), KS og nb</t>
  </si>
  <si>
    <t>Beregnet nₛ</t>
  </si>
  <si>
    <t>nb-direkte</t>
  </si>
  <si>
    <t xml:space="preserve">(H₃O⁺ eller pH), KS og nₛ </t>
  </si>
  <si>
    <t>Forskrift:</t>
  </si>
  <si>
    <t>programeringsnoter til beregninger</t>
  </si>
  <si>
    <t>SUPERSKABELON FOR REAKTIONSORDENER - VIRKER KUN VED SAMMENHØRENDE DATA FOR TIDEN (t) og [A]</t>
  </si>
  <si>
    <t>Indsæt dine datas for temperatur og hastighedskonstanter i kolonne b og c (lyseblå) nedenfor: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</si>
</sst>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
    <numFmt numFmtId="166" formatCode="0.000"/>
    <numFmt numFmtId="167" formatCode="####.00\ %"/>
    <numFmt numFmtId="168" formatCode="[&lt;0.0001]0.00E+00&quot; M&quot;;[&gt;=10000]0.00E+00&quot; M&quot;;0.00&quot; M&quot;"/>
    <numFmt numFmtId="169" formatCode="[&lt;0.0001]0.0000E+00&quot; M&quot;;[&gt;=10000]0.0000E+00&quot; M&quot;;0.0000&quot; M&quot;"/>
    <numFmt numFmtId="170" formatCode="[&lt;0.0001]0.000E+00&quot; M&quot;;[&gt;=10000]0.000E+00&quot; M&quot;;0.000&quot; M&quot;"/>
    <numFmt numFmtId="171" formatCode="####.00\ &quot;g/mol&quot;"/>
    <numFmt numFmtId="172" formatCode="[&lt;0.0001]0.00000E+00&quot; M&quot;;[&gt;=10000]0.00000E+00&quot; M&quot;;0.00000&quot; M&quot;"/>
    <numFmt numFmtId="173" formatCode="[&lt;0.0001]0.00000E+00&quot; mol&quot;;[&gt;=10000]0.00000E+00&quot; M&quot;;0.00000&quot; mol&quot;"/>
  </numFmts>
  <fonts count="31">
    <font>
      <sz val="11"/>
      <color theme="1"/>
      <name val="Calibri"/>
      <family val="2"/>
      <scheme val="minor"/>
    </font>
    <font>
      <sz val="11"/>
      <color rgb="FFFF0000"/>
      <name val="Calibri"/>
      <family val="2"/>
      <scheme val="minor"/>
    </font>
    <font>
      <b/>
      <sz val="11"/>
      <color theme="1"/>
      <name val="Calibri"/>
      <family val="2"/>
      <scheme val="minor"/>
    </font>
    <font>
      <sz val="36"/>
      <color theme="1"/>
      <name val="Calibri"/>
      <family val="2"/>
      <scheme val="minor"/>
    </font>
    <font>
      <sz val="18"/>
      <color rgb="FFFF0000"/>
      <name val="Calibri"/>
      <family val="2"/>
      <scheme val="minor"/>
    </font>
    <font>
      <sz val="16"/>
      <color rgb="FFFF0000"/>
      <name val="Calibri"/>
      <family val="2"/>
      <scheme val="minor"/>
    </font>
    <font>
      <sz val="14"/>
      <color theme="1"/>
      <name val="Calibri"/>
      <family val="2"/>
      <scheme val="minor"/>
    </font>
    <font>
      <sz val="8"/>
      <color theme="1"/>
      <name val="Calibri"/>
      <family val="2"/>
      <scheme val="minor"/>
    </font>
    <font>
      <sz val="28"/>
      <color theme="1"/>
      <name val="Calibri"/>
      <family val="2"/>
      <scheme val="minor"/>
    </font>
    <font>
      <sz val="10"/>
      <color theme="1"/>
      <name val="Calibri"/>
      <family val="2"/>
      <scheme val="minor"/>
    </font>
    <font>
      <b/>
      <sz val="12"/>
      <color rgb="FFFF0000"/>
      <name val="Calibri"/>
      <family val="2"/>
      <scheme val="minor"/>
    </font>
    <font>
      <sz val="16"/>
      <color theme="1"/>
      <name val="Calibri"/>
      <family val="2"/>
      <scheme val="minor"/>
    </font>
    <font>
      <b/>
      <sz val="14"/>
      <color rgb="FFFF0000"/>
      <name val="Calibri"/>
      <family val="2"/>
      <scheme val="minor"/>
    </font>
    <font>
      <b/>
      <sz val="14"/>
      <color theme="1"/>
      <name val="Calibri"/>
      <family val="2"/>
      <scheme val="minor"/>
    </font>
    <font>
      <sz val="9"/>
      <color theme="1"/>
      <name val="Calibri"/>
      <family val="2"/>
      <scheme val="minor"/>
    </font>
    <font>
      <sz val="11"/>
      <name val="Calibri"/>
      <family val="2"/>
      <scheme val="minor"/>
    </font>
    <font>
      <sz val="22"/>
      <color theme="1"/>
      <name val="Calibri"/>
      <family val="2"/>
      <scheme val="minor"/>
    </font>
    <font>
      <b/>
      <sz val="9"/>
      <color indexed="81"/>
      <name val="Tahoma"/>
      <family val="2"/>
    </font>
    <font>
      <sz val="9"/>
      <color indexed="81"/>
      <name val="Tahoma"/>
      <family val="2"/>
    </font>
    <font>
      <sz val="24"/>
      <color theme="1"/>
      <name val="Calibri"/>
      <family val="2"/>
      <scheme val="minor"/>
    </font>
    <font>
      <b/>
      <sz val="18"/>
      <color theme="1"/>
      <name val="Calibri"/>
      <family val="2"/>
      <scheme val="minor"/>
    </font>
    <font>
      <sz val="18"/>
      <color theme="1"/>
      <name val="Calibri"/>
      <family val="2"/>
      <scheme val="minor"/>
    </font>
    <font>
      <b/>
      <u/>
      <sz val="22"/>
      <color rgb="FFFF0000"/>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
      <sz val="20"/>
      <color theme="1"/>
      <name val="Calibri"/>
      <family val="2"/>
      <scheme val="minor"/>
    </font>
    <font>
      <sz val="10"/>
      <color rgb="FF000000"/>
      <name val="Sans"/>
    </font>
    <font>
      <b/>
      <i/>
      <sz val="11"/>
      <color theme="1"/>
      <name val="Calibri"/>
      <family val="2"/>
      <scheme val="minor"/>
    </font>
    <font>
      <sz val="7"/>
      <color theme="1"/>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79998168889431442"/>
        <bgColor indexed="64"/>
      </patternFill>
    </fill>
  </fills>
  <borders count="7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
      <left/>
      <right/>
      <top style="double">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3" fillId="0" borderId="0"/>
    <xf numFmtId="0" fontId="28" fillId="0" borderId="0"/>
  </cellStyleXfs>
  <cellXfs count="336">
    <xf numFmtId="0" fontId="0" fillId="0" borderId="0" xfId="0"/>
    <xf numFmtId="0" fontId="0" fillId="0" borderId="1" xfId="0" applyBorder="1"/>
    <xf numFmtId="0" fontId="0" fillId="0" borderId="2" xfId="0" applyBorder="1"/>
    <xf numFmtId="0" fontId="3" fillId="0" borderId="2" xfId="0" applyFont="1" applyBorder="1" applyAlignment="1">
      <alignment horizontal="centerContinuous"/>
    </xf>
    <xf numFmtId="0" fontId="0" fillId="0" borderId="2" xfId="0" applyBorder="1" applyAlignment="1">
      <alignment horizontal="centerContinuous"/>
    </xf>
    <xf numFmtId="0" fontId="0" fillId="0" borderId="3" xfId="0" applyBorder="1"/>
    <xf numFmtId="2" fontId="0" fillId="0" borderId="0" xfId="0" applyNumberFormat="1"/>
    <xf numFmtId="0" fontId="0" fillId="0" borderId="4" xfId="0" applyBorder="1"/>
    <xf numFmtId="0" fontId="4" fillId="0" borderId="0" xfId="0" applyFont="1"/>
    <xf numFmtId="0" fontId="0" fillId="0" borderId="5" xfId="0" applyBorder="1"/>
    <xf numFmtId="0" fontId="0" fillId="0" borderId="6" xfId="0" applyBorder="1"/>
    <xf numFmtId="0" fontId="5" fillId="0" borderId="0" xfId="0" applyFont="1"/>
    <xf numFmtId="0" fontId="6" fillId="2" borderId="7" xfId="0" applyFont="1" applyFill="1" applyBorder="1" applyAlignment="1">
      <alignment horizontal="centerContinuous"/>
    </xf>
    <xf numFmtId="0" fontId="6" fillId="2" borderId="8" xfId="0" applyFont="1" applyFill="1" applyBorder="1" applyAlignment="1">
      <alignment horizontal="centerContinuous"/>
    </xf>
    <xf numFmtId="0" fontId="6" fillId="2" borderId="9" xfId="0" applyFont="1" applyFill="1" applyBorder="1" applyAlignment="1">
      <alignment horizontal="centerContinuous"/>
    </xf>
    <xf numFmtId="0" fontId="2" fillId="0" borderId="6" xfId="0" applyFont="1" applyBorder="1"/>
    <xf numFmtId="0" fontId="0" fillId="0" borderId="10" xfId="0" applyBorder="1"/>
    <xf numFmtId="0" fontId="0" fillId="3" borderId="6" xfId="0" applyFill="1" applyBorder="1" applyAlignment="1">
      <alignment horizontal="center"/>
    </xf>
    <xf numFmtId="0" fontId="0" fillId="0" borderId="11" xfId="0" applyBorder="1"/>
    <xf numFmtId="0" fontId="0" fillId="0" borderId="12" xfId="0" applyBorder="1"/>
    <xf numFmtId="0" fontId="8" fillId="0" borderId="0" xfId="0" applyFont="1" applyAlignment="1">
      <alignment horizontal="centerContinuous"/>
    </xf>
    <xf numFmtId="0" fontId="0" fillId="0" borderId="0" xfId="0" applyAlignment="1">
      <alignment horizontal="centerContinuous"/>
    </xf>
    <xf numFmtId="0" fontId="0" fillId="4" borderId="6" xfId="0" applyFill="1" applyBorder="1" applyAlignment="1">
      <alignment horizontal="center"/>
    </xf>
    <xf numFmtId="0" fontId="0" fillId="4" borderId="10" xfId="0" applyFill="1" applyBorder="1" applyAlignment="1">
      <alignment horizontal="center"/>
    </xf>
    <xf numFmtId="0" fontId="0" fillId="4" borderId="6" xfId="0" applyFill="1" applyBorder="1"/>
    <xf numFmtId="0" fontId="0" fillId="0" borderId="13" xfId="0" applyBorder="1"/>
    <xf numFmtId="0" fontId="0" fillId="5" borderId="6" xfId="0" applyFill="1" applyBorder="1"/>
    <xf numFmtId="0" fontId="0" fillId="5" borderId="10" xfId="0" applyFill="1" applyBorder="1"/>
    <xf numFmtId="2" fontId="0" fillId="0" borderId="6" xfId="0" applyNumberFormat="1" applyBorder="1"/>
    <xf numFmtId="164" fontId="0" fillId="0" borderId="0" xfId="0" applyNumberFormat="1"/>
    <xf numFmtId="0" fontId="0" fillId="6" borderId="14" xfId="0" applyFill="1" applyBorder="1" applyAlignment="1" applyProtection="1">
      <alignment horizontal="center"/>
      <protection locked="0"/>
    </xf>
    <xf numFmtId="0" fontId="0" fillId="6" borderId="15" xfId="0" applyFill="1" applyBorder="1" applyAlignment="1" applyProtection="1">
      <alignment horizontal="center"/>
      <protection locked="0"/>
    </xf>
    <xf numFmtId="0" fontId="0" fillId="6" borderId="16" xfId="0" applyFill="1" applyBorder="1" applyAlignment="1" applyProtection="1">
      <alignment horizontal="center"/>
      <protection locked="0"/>
    </xf>
    <xf numFmtId="0" fontId="0" fillId="0" borderId="0" xfId="0" quotePrefix="1"/>
    <xf numFmtId="0" fontId="0" fillId="0" borderId="17" xfId="0" applyBorder="1"/>
    <xf numFmtId="0" fontId="9" fillId="3" borderId="6" xfId="0" applyFont="1" applyFill="1" applyBorder="1"/>
    <xf numFmtId="0" fontId="0" fillId="2" borderId="8" xfId="0" applyFill="1" applyBorder="1" applyAlignment="1">
      <alignment horizontal="centerContinuous"/>
    </xf>
    <xf numFmtId="0" fontId="0" fillId="2" borderId="18" xfId="0" applyFill="1" applyBorder="1" applyAlignment="1">
      <alignment horizontal="centerContinuous"/>
    </xf>
    <xf numFmtId="0" fontId="0" fillId="2" borderId="19" xfId="0" applyFill="1" applyBorder="1" applyAlignment="1">
      <alignment horizontal="centerContinuous"/>
    </xf>
    <xf numFmtId="0" fontId="9" fillId="0" borderId="0" xfId="0" applyFont="1"/>
    <xf numFmtId="0" fontId="0" fillId="3" borderId="6" xfId="0" applyFill="1" applyBorder="1"/>
    <xf numFmtId="2" fontId="0" fillId="0" borderId="5" xfId="0" applyNumberFormat="1" applyBorder="1"/>
    <xf numFmtId="0" fontId="10" fillId="0" borderId="0" xfId="0" applyFont="1"/>
    <xf numFmtId="0" fontId="0" fillId="3" borderId="10" xfId="0" applyFill="1" applyBorder="1"/>
    <xf numFmtId="0" fontId="11" fillId="0" borderId="2" xfId="0" applyFont="1" applyBorder="1" applyAlignment="1">
      <alignment horizontal="centerContinuous"/>
    </xf>
    <xf numFmtId="0" fontId="8" fillId="0" borderId="2" xfId="0" applyFont="1" applyBorder="1" applyAlignment="1">
      <alignment horizontal="centerContinuous"/>
    </xf>
    <xf numFmtId="0" fontId="11" fillId="0" borderId="3" xfId="0" applyFont="1" applyBorder="1" applyAlignment="1">
      <alignment horizontal="centerContinuous"/>
    </xf>
    <xf numFmtId="0" fontId="9" fillId="0" borderId="30" xfId="0" applyFont="1" applyBorder="1"/>
    <xf numFmtId="0" fontId="0" fillId="6" borderId="31" xfId="0" applyFill="1" applyBorder="1" applyAlignment="1" applyProtection="1">
      <alignment horizontal="center"/>
      <protection locked="0"/>
    </xf>
    <xf numFmtId="0" fontId="0" fillId="2" borderId="7" xfId="0" applyFill="1" applyBorder="1" applyAlignment="1">
      <alignment horizontal="center"/>
    </xf>
    <xf numFmtId="0" fontId="0" fillId="3" borderId="19" xfId="0" applyFill="1" applyBorder="1" applyAlignment="1">
      <alignment horizontal="centerContinuous"/>
    </xf>
    <xf numFmtId="0" fontId="0" fillId="3" borderId="18" xfId="0" applyFill="1" applyBorder="1" applyAlignment="1">
      <alignment horizontal="centerContinuous"/>
    </xf>
    <xf numFmtId="0" fontId="0" fillId="3" borderId="8" xfId="0" applyFill="1" applyBorder="1" applyAlignment="1">
      <alignment horizontal="centerContinuous"/>
    </xf>
    <xf numFmtId="0" fontId="0" fillId="3" borderId="32" xfId="0" applyFill="1" applyBorder="1" applyAlignment="1">
      <alignment horizontal="centerContinuous"/>
    </xf>
    <xf numFmtId="0" fontId="0" fillId="3" borderId="33" xfId="0" applyFill="1" applyBorder="1" applyAlignment="1">
      <alignment horizontal="centerContinuous"/>
    </xf>
    <xf numFmtId="0" fontId="0" fillId="3" borderId="9" xfId="0" applyFill="1" applyBorder="1" applyAlignment="1">
      <alignment horizontal="centerContinuous"/>
    </xf>
    <xf numFmtId="0" fontId="9" fillId="0" borderId="4" xfId="0" applyFont="1" applyBorder="1"/>
    <xf numFmtId="0" fontId="0" fillId="2" borderId="34" xfId="0" applyFill="1" applyBorder="1" applyAlignment="1">
      <alignment horizontal="center"/>
    </xf>
    <xf numFmtId="0" fontId="0" fillId="3" borderId="10" xfId="0" applyFill="1" applyBorder="1" applyAlignment="1">
      <alignment horizontal="centerContinuous"/>
    </xf>
    <xf numFmtId="0" fontId="0" fillId="3" borderId="21" xfId="0" applyFill="1" applyBorder="1" applyAlignment="1">
      <alignment horizontal="centerContinuous"/>
    </xf>
    <xf numFmtId="0" fontId="0" fillId="3" borderId="20" xfId="0" applyFill="1" applyBorder="1" applyAlignment="1">
      <alignment horizontal="centerContinuous"/>
    </xf>
    <xf numFmtId="0" fontId="0" fillId="3" borderId="35" xfId="0" applyFill="1" applyBorder="1" applyAlignment="1">
      <alignment horizontal="centerContinuous"/>
    </xf>
    <xf numFmtId="0" fontId="0" fillId="3" borderId="29" xfId="0" applyFill="1" applyBorder="1" applyAlignment="1">
      <alignment horizontal="centerContinuous"/>
    </xf>
    <xf numFmtId="0" fontId="0" fillId="3" borderId="28" xfId="0" applyFill="1" applyBorder="1" applyAlignment="1">
      <alignment horizontal="centerContinuous"/>
    </xf>
    <xf numFmtId="0" fontId="0" fillId="3" borderId="27" xfId="0" applyFill="1" applyBorder="1" applyAlignment="1">
      <alignment horizontal="centerContinuous"/>
    </xf>
    <xf numFmtId="0" fontId="0" fillId="3" borderId="36" xfId="0" applyFill="1" applyBorder="1" applyAlignment="1">
      <alignment horizontal="centerContinuous"/>
    </xf>
    <xf numFmtId="0" fontId="7" fillId="0" borderId="4" xfId="0" applyFont="1" applyBorder="1"/>
    <xf numFmtId="0" fontId="0" fillId="2" borderId="37" xfId="0" applyFill="1" applyBorder="1"/>
    <xf numFmtId="0" fontId="0" fillId="0" borderId="40" xfId="0" applyBorder="1"/>
    <xf numFmtId="0" fontId="0" fillId="0" borderId="43" xfId="0" applyBorder="1"/>
    <xf numFmtId="0" fontId="0" fillId="0" borderId="44" xfId="0" applyBorder="1"/>
    <xf numFmtId="0" fontId="0" fillId="0" borderId="45" xfId="0" applyBorder="1"/>
    <xf numFmtId="0" fontId="0" fillId="0" borderId="15" xfId="0" applyBorder="1"/>
    <xf numFmtId="2" fontId="0" fillId="0" borderId="40" xfId="0" applyNumberFormat="1" applyBorder="1"/>
    <xf numFmtId="0" fontId="0" fillId="0" borderId="46" xfId="0" applyBorder="1"/>
    <xf numFmtId="0" fontId="9" fillId="0" borderId="45" xfId="0" applyFont="1" applyBorder="1"/>
    <xf numFmtId="0" fontId="0" fillId="0" borderId="0" xfId="0" applyAlignment="1">
      <alignment horizontal="center"/>
    </xf>
    <xf numFmtId="0" fontId="12" fillId="0" borderId="0" xfId="0" applyFont="1"/>
    <xf numFmtId="0" fontId="0" fillId="0" borderId="47" xfId="0" applyBorder="1"/>
    <xf numFmtId="0" fontId="9" fillId="0" borderId="43" xfId="0" applyFont="1" applyBorder="1"/>
    <xf numFmtId="0" fontId="0" fillId="0" borderId="48" xfId="0" applyBorder="1"/>
    <xf numFmtId="0" fontId="0" fillId="0" borderId="49" xfId="0" applyBorder="1"/>
    <xf numFmtId="0" fontId="0" fillId="0" borderId="50" xfId="0" applyBorder="1"/>
    <xf numFmtId="0" fontId="13" fillId="0" borderId="0" xfId="0" applyFont="1" applyAlignment="1">
      <alignment horizontal="center"/>
    </xf>
    <xf numFmtId="0" fontId="0" fillId="8" borderId="0" xfId="0" applyFill="1"/>
    <xf numFmtId="0" fontId="14" fillId="2" borderId="4" xfId="0" applyFont="1" applyFill="1" applyBorder="1"/>
    <xf numFmtId="0" fontId="0" fillId="2" borderId="25" xfId="0" applyFill="1" applyBorder="1"/>
    <xf numFmtId="0" fontId="0" fillId="3" borderId="26" xfId="0" applyFill="1" applyBorder="1" applyAlignment="1">
      <alignment horizontal="left"/>
    </xf>
    <xf numFmtId="0" fontId="0" fillId="3" borderId="25" xfId="0" applyFill="1" applyBorder="1" applyAlignment="1">
      <alignment horizontal="centerContinuous"/>
    </xf>
    <xf numFmtId="0" fontId="14" fillId="3" borderId="26" xfId="0" applyFont="1" applyFill="1" applyBorder="1"/>
    <xf numFmtId="0" fontId="0" fillId="2" borderId="0" xfId="0" applyFill="1"/>
    <xf numFmtId="0" fontId="0" fillId="3" borderId="24" xfId="0" applyFill="1" applyBorder="1" applyAlignment="1">
      <alignment horizontal="left"/>
    </xf>
    <xf numFmtId="0" fontId="0" fillId="3" borderId="23" xfId="0" applyFill="1" applyBorder="1" applyAlignment="1">
      <alignment horizontal="centerContinuous"/>
    </xf>
    <xf numFmtId="0" fontId="13" fillId="0" borderId="0" xfId="0" applyFont="1"/>
    <xf numFmtId="2" fontId="0" fillId="0" borderId="2" xfId="0" applyNumberFormat="1" applyBorder="1"/>
    <xf numFmtId="0" fontId="0" fillId="0" borderId="52" xfId="0" applyBorder="1"/>
    <xf numFmtId="0" fontId="0" fillId="0" borderId="53" xfId="0" applyBorder="1"/>
    <xf numFmtId="11" fontId="0" fillId="3" borderId="24" xfId="0" applyNumberFormat="1" applyFill="1" applyBorder="1" applyAlignment="1">
      <alignment horizontal="left"/>
    </xf>
    <xf numFmtId="2" fontId="0" fillId="2" borderId="6" xfId="0" applyNumberFormat="1" applyFill="1" applyBorder="1" applyAlignment="1">
      <alignment horizontal="center"/>
    </xf>
    <xf numFmtId="2" fontId="0" fillId="0" borderId="6" xfId="0" applyNumberFormat="1" applyBorder="1" applyAlignment="1">
      <alignment horizontal="center"/>
    </xf>
    <xf numFmtId="1" fontId="0" fillId="2" borderId="6" xfId="0" applyNumberFormat="1" applyFill="1" applyBorder="1" applyAlignment="1">
      <alignment horizontal="center"/>
    </xf>
    <xf numFmtId="0" fontId="0" fillId="0" borderId="54" xfId="0" applyBorder="1"/>
    <xf numFmtId="0" fontId="0" fillId="10" borderId="31" xfId="0" applyFill="1" applyBorder="1"/>
    <xf numFmtId="2" fontId="0" fillId="11" borderId="6" xfId="0" applyNumberFormat="1" applyFill="1" applyBorder="1" applyAlignment="1">
      <alignment horizontal="center"/>
    </xf>
    <xf numFmtId="0" fontId="0" fillId="0" borderId="14" xfId="0" applyBorder="1"/>
    <xf numFmtId="0" fontId="0" fillId="0" borderId="16" xfId="0" applyBorder="1"/>
    <xf numFmtId="0" fontId="0" fillId="2" borderId="6" xfId="0" applyFill="1" applyBorder="1" applyAlignment="1">
      <alignment horizontal="center"/>
    </xf>
    <xf numFmtId="0" fontId="0" fillId="0" borderId="6" xfId="0" applyBorder="1" applyAlignment="1">
      <alignment horizontal="center"/>
    </xf>
    <xf numFmtId="0" fontId="0" fillId="11" borderId="6" xfId="0" applyFill="1" applyBorder="1" applyAlignment="1">
      <alignment horizontal="center"/>
    </xf>
    <xf numFmtId="0" fontId="0" fillId="11" borderId="6" xfId="0" applyFill="1" applyBorder="1"/>
    <xf numFmtId="1" fontId="0" fillId="0" borderId="0" xfId="0" applyNumberFormat="1"/>
    <xf numFmtId="0" fontId="14" fillId="2" borderId="45" xfId="0" applyFont="1" applyFill="1" applyBorder="1"/>
    <xf numFmtId="0" fontId="0" fillId="2" borderId="40" xfId="0" applyFill="1" applyBorder="1"/>
    <xf numFmtId="0" fontId="0" fillId="3" borderId="55" xfId="0" applyFill="1" applyBorder="1" applyAlignment="1">
      <alignment horizontal="left"/>
    </xf>
    <xf numFmtId="0" fontId="0" fillId="3" borderId="56" xfId="0" applyFill="1" applyBorder="1" applyAlignment="1">
      <alignment horizontal="centerContinuous"/>
    </xf>
    <xf numFmtId="0" fontId="14" fillId="3" borderId="38" xfId="0" applyFont="1" applyFill="1" applyBorder="1"/>
    <xf numFmtId="0" fontId="0" fillId="3" borderId="40" xfId="0" applyFill="1" applyBorder="1"/>
    <xf numFmtId="0" fontId="0" fillId="3" borderId="39" xfId="0" applyFill="1" applyBorder="1"/>
    <xf numFmtId="0" fontId="0" fillId="4" borderId="59" xfId="0" applyFill="1" applyBorder="1"/>
    <xf numFmtId="0" fontId="0" fillId="4" borderId="0" xfId="0" applyFill="1"/>
    <xf numFmtId="0" fontId="0" fillId="0" borderId="24" xfId="0" applyBorder="1"/>
    <xf numFmtId="0" fontId="0" fillId="0" borderId="23" xfId="0" applyBorder="1"/>
    <xf numFmtId="0" fontId="0" fillId="0" borderId="60" xfId="0" applyBorder="1" applyAlignment="1">
      <alignment horizontal="left"/>
    </xf>
    <xf numFmtId="0" fontId="0" fillId="0" borderId="0" xfId="0" applyAlignment="1">
      <alignment horizontal="left"/>
    </xf>
    <xf numFmtId="0" fontId="0" fillId="0" borderId="26" xfId="0" applyBorder="1" applyAlignment="1">
      <alignment wrapText="1"/>
    </xf>
    <xf numFmtId="0" fontId="0" fillId="0" borderId="25" xfId="0" applyBorder="1"/>
    <xf numFmtId="0" fontId="0" fillId="0" borderId="26" xfId="0" applyBorder="1"/>
    <xf numFmtId="0" fontId="0" fillId="0" borderId="29" xfId="0" applyBorder="1"/>
    <xf numFmtId="0" fontId="0" fillId="0" borderId="28" xfId="0" applyBorder="1"/>
    <xf numFmtId="0" fontId="0" fillId="0" borderId="60" xfId="0" applyBorder="1"/>
    <xf numFmtId="11" fontId="0" fillId="0" borderId="60" xfId="0" applyNumberFormat="1" applyBorder="1"/>
    <xf numFmtId="1" fontId="0" fillId="0" borderId="60" xfId="0" applyNumberFormat="1" applyBorder="1"/>
    <xf numFmtId="0" fontId="0" fillId="4" borderId="13" xfId="0" applyFill="1" applyBorder="1" applyAlignment="1">
      <alignment horizontal="left" vertical="top" wrapText="1"/>
    </xf>
    <xf numFmtId="0" fontId="0" fillId="4" borderId="0" xfId="0" applyFill="1" applyAlignment="1">
      <alignment horizontal="left" vertical="top" wrapText="1"/>
    </xf>
    <xf numFmtId="0" fontId="0" fillId="0" borderId="61" xfId="0" applyBorder="1"/>
    <xf numFmtId="0" fontId="0" fillId="4" borderId="62" xfId="0" applyFill="1" applyBorder="1" applyAlignment="1">
      <alignment horizontal="left"/>
    </xf>
    <xf numFmtId="0" fontId="0" fillId="4" borderId="0" xfId="0" applyFill="1" applyAlignment="1">
      <alignment horizontal="left"/>
    </xf>
    <xf numFmtId="0" fontId="15" fillId="4" borderId="63" xfId="0" applyFont="1" applyFill="1" applyBorder="1"/>
    <xf numFmtId="0" fontId="15" fillId="4" borderId="0" xfId="0" applyFont="1" applyFill="1"/>
    <xf numFmtId="0" fontId="0" fillId="0" borderId="30" xfId="0" applyBorder="1"/>
    <xf numFmtId="0" fontId="0" fillId="0" borderId="22" xfId="0" applyBorder="1"/>
    <xf numFmtId="0" fontId="0" fillId="0" borderId="51" xfId="0" applyBorder="1"/>
    <xf numFmtId="0" fontId="2" fillId="0" borderId="0" xfId="0" applyFont="1"/>
    <xf numFmtId="0" fontId="16" fillId="0" borderId="0" xfId="0" applyFont="1"/>
    <xf numFmtId="0" fontId="8" fillId="0" borderId="0" xfId="0" applyFont="1"/>
    <xf numFmtId="0" fontId="7" fillId="0" borderId="0" xfId="0" applyFont="1"/>
    <xf numFmtId="0" fontId="0" fillId="0" borderId="62" xfId="0" applyBorder="1"/>
    <xf numFmtId="166" fontId="0" fillId="0" borderId="6" xfId="0" applyNumberFormat="1" applyBorder="1" applyAlignment="1">
      <alignment horizontal="center"/>
    </xf>
    <xf numFmtId="10" fontId="0" fillId="0" borderId="6" xfId="0" applyNumberFormat="1" applyBorder="1" applyAlignment="1">
      <alignment horizontal="center"/>
    </xf>
    <xf numFmtId="0" fontId="0" fillId="12" borderId="45" xfId="0" applyFill="1" applyBorder="1"/>
    <xf numFmtId="0" fontId="2" fillId="0" borderId="52" xfId="0" applyFont="1" applyBorder="1" applyAlignment="1">
      <alignment horizontal="center"/>
    </xf>
    <xf numFmtId="0" fontId="2" fillId="0" borderId="3" xfId="0" applyFont="1" applyBorder="1" applyAlignment="1">
      <alignment horizontal="center"/>
    </xf>
    <xf numFmtId="0" fontId="2" fillId="0" borderId="13" xfId="0" applyFont="1" applyBorder="1" applyAlignment="1">
      <alignment horizontal="center"/>
    </xf>
    <xf numFmtId="0" fontId="20" fillId="6" borderId="54" xfId="0" applyFont="1" applyFill="1" applyBorder="1" applyAlignment="1" applyProtection="1">
      <alignment horizontal="center"/>
      <protection locked="0"/>
    </xf>
    <xf numFmtId="167" fontId="21" fillId="6" borderId="31" xfId="0" applyNumberFormat="1" applyFont="1" applyFill="1" applyBorder="1" applyAlignment="1" applyProtection="1">
      <alignment horizontal="center"/>
      <protection locked="0"/>
    </xf>
    <xf numFmtId="0" fontId="0" fillId="5" borderId="64" xfId="0" applyFill="1" applyBorder="1" applyAlignment="1">
      <alignment horizontal="center"/>
    </xf>
    <xf numFmtId="0" fontId="20" fillId="6" borderId="14" xfId="0" applyFont="1" applyFill="1" applyBorder="1" applyAlignment="1" applyProtection="1">
      <alignment horizontal="center"/>
      <protection locked="0"/>
    </xf>
    <xf numFmtId="167" fontId="21" fillId="6" borderId="16" xfId="0" applyNumberFormat="1" applyFont="1" applyFill="1" applyBorder="1" applyAlignment="1" applyProtection="1">
      <alignment horizontal="center"/>
      <protection locked="0"/>
    </xf>
    <xf numFmtId="0" fontId="0" fillId="5" borderId="63" xfId="0" applyFill="1" applyBorder="1" applyAlignment="1">
      <alignment horizontal="center"/>
    </xf>
    <xf numFmtId="0" fontId="22" fillId="0" borderId="0" xfId="0" applyFont="1" applyAlignment="1">
      <alignment horizontal="centerContinuous"/>
    </xf>
    <xf numFmtId="0" fontId="6" fillId="0" borderId="0" xfId="0" applyFont="1" applyAlignment="1">
      <alignment horizontal="centerContinuous"/>
    </xf>
    <xf numFmtId="0" fontId="23" fillId="0" borderId="65" xfId="0" applyFont="1" applyBorder="1"/>
    <xf numFmtId="0" fontId="0" fillId="0" borderId="66" xfId="0" applyBorder="1"/>
    <xf numFmtId="0" fontId="19" fillId="0" borderId="10" xfId="0" applyFont="1" applyBorder="1"/>
    <xf numFmtId="10" fontId="0" fillId="0" borderId="64" xfId="0" applyNumberFormat="1" applyBorder="1"/>
    <xf numFmtId="0" fontId="19" fillId="0" borderId="55" xfId="0" applyFont="1" applyBorder="1"/>
    <xf numFmtId="10" fontId="0" fillId="0" borderId="63" xfId="0" applyNumberFormat="1" applyBorder="1"/>
    <xf numFmtId="0" fontId="19" fillId="0" borderId="0" xfId="0" applyFont="1" applyAlignment="1">
      <alignment horizontal="centerContinuous"/>
    </xf>
    <xf numFmtId="0" fontId="0" fillId="13" borderId="6" xfId="0" applyFill="1" applyBorder="1" applyAlignment="1" applyProtection="1">
      <alignment horizontal="center"/>
      <protection locked="0"/>
    </xf>
    <xf numFmtId="0" fontId="24" fillId="0" borderId="0" xfId="0" applyFont="1"/>
    <xf numFmtId="0" fontId="11" fillId="0" borderId="0" xfId="0" applyFont="1"/>
    <xf numFmtId="0" fontId="0" fillId="14" borderId="6" xfId="0" applyFill="1" applyBorder="1"/>
    <xf numFmtId="0" fontId="0" fillId="13" borderId="6" xfId="0" applyFill="1" applyBorder="1" applyProtection="1">
      <protection locked="0"/>
    </xf>
    <xf numFmtId="0" fontId="23" fillId="0" borderId="0" xfId="0" applyFont="1"/>
    <xf numFmtId="0" fontId="0" fillId="0" borderId="0" xfId="0" applyProtection="1">
      <protection locked="0"/>
    </xf>
    <xf numFmtId="0" fontId="1" fillId="0" borderId="0" xfId="0" applyFont="1"/>
    <xf numFmtId="0" fontId="0" fillId="14" borderId="6" xfId="0" applyFill="1" applyBorder="1" applyAlignment="1">
      <alignment horizontal="center"/>
    </xf>
    <xf numFmtId="165" fontId="0" fillId="0" borderId="25" xfId="0" applyNumberFormat="1" applyBorder="1"/>
    <xf numFmtId="0" fontId="0" fillId="0" borderId="31" xfId="0" applyBorder="1"/>
    <xf numFmtId="11" fontId="0" fillId="0" borderId="25" xfId="0" applyNumberFormat="1" applyBorder="1"/>
    <xf numFmtId="0" fontId="0" fillId="0" borderId="41" xfId="0" applyBorder="1"/>
    <xf numFmtId="164" fontId="0" fillId="0" borderId="25" xfId="0" applyNumberFormat="1" applyBorder="1"/>
    <xf numFmtId="0" fontId="0" fillId="3" borderId="54" xfId="0" applyFill="1" applyBorder="1"/>
    <xf numFmtId="0" fontId="0" fillId="3" borderId="14" xfId="0" applyFill="1" applyBorder="1"/>
    <xf numFmtId="0" fontId="0" fillId="3" borderId="15" xfId="0" applyFill="1" applyBorder="1"/>
    <xf numFmtId="168" fontId="0" fillId="0" borderId="0" xfId="0" applyNumberFormat="1"/>
    <xf numFmtId="169" fontId="0" fillId="0" borderId="40" xfId="0" applyNumberFormat="1" applyBorder="1"/>
    <xf numFmtId="0" fontId="0" fillId="3" borderId="68" xfId="0" applyFill="1" applyBorder="1"/>
    <xf numFmtId="0" fontId="0" fillId="3" borderId="69" xfId="0" applyFill="1" applyBorder="1"/>
    <xf numFmtId="0" fontId="0" fillId="0" borderId="70" xfId="0" applyBorder="1"/>
    <xf numFmtId="0" fontId="0" fillId="0" borderId="7" xfId="0" applyBorder="1"/>
    <xf numFmtId="0" fontId="0" fillId="0" borderId="8" xfId="0" applyBorder="1"/>
    <xf numFmtId="0" fontId="0" fillId="0" borderId="9" xfId="0" applyBorder="1"/>
    <xf numFmtId="0" fontId="6" fillId="0" borderId="24" xfId="0" applyFont="1" applyBorder="1"/>
    <xf numFmtId="0" fontId="0" fillId="0" borderId="71" xfId="0" applyBorder="1"/>
    <xf numFmtId="0" fontId="0" fillId="0" borderId="27" xfId="0" applyBorder="1"/>
    <xf numFmtId="0" fontId="6" fillId="0" borderId="0" xfId="0" applyFont="1"/>
    <xf numFmtId="0" fontId="16" fillId="0" borderId="43" xfId="0" applyFont="1" applyBorder="1" applyAlignment="1">
      <alignment horizontal="centerContinuous"/>
    </xf>
    <xf numFmtId="0" fontId="16" fillId="0" borderId="48" xfId="0" applyFont="1" applyBorder="1" applyAlignment="1">
      <alignment horizontal="centerContinuous"/>
    </xf>
    <xf numFmtId="0" fontId="16" fillId="0" borderId="47" xfId="0" applyFont="1" applyBorder="1" applyAlignment="1">
      <alignment horizontal="centerContinuous"/>
    </xf>
    <xf numFmtId="0" fontId="27" fillId="0" borderId="43" xfId="0" applyFont="1" applyBorder="1" applyAlignment="1">
      <alignment horizontal="centerContinuous"/>
    </xf>
    <xf numFmtId="0" fontId="27" fillId="0" borderId="48" xfId="0" applyFont="1" applyBorder="1" applyAlignment="1">
      <alignment horizontal="centerContinuous"/>
    </xf>
    <xf numFmtId="0" fontId="27" fillId="0" borderId="47" xfId="0" applyFont="1" applyBorder="1" applyAlignment="1">
      <alignment horizontal="centerContinuous"/>
    </xf>
    <xf numFmtId="0" fontId="21" fillId="0" borderId="48" xfId="0" applyFont="1" applyBorder="1" applyAlignment="1">
      <alignment horizontal="centerContinuous"/>
    </xf>
    <xf numFmtId="0" fontId="8" fillId="0" borderId="1" xfId="0" applyFont="1" applyBorder="1"/>
    <xf numFmtId="0" fontId="7" fillId="3" borderId="4" xfId="0" applyFont="1" applyFill="1" applyBorder="1" applyAlignment="1">
      <alignment horizontal="center"/>
    </xf>
    <xf numFmtId="0" fontId="0" fillId="0" borderId="69" xfId="0" applyBorder="1"/>
    <xf numFmtId="0" fontId="0" fillId="0" borderId="10" xfId="0" quotePrefix="1" applyBorder="1"/>
    <xf numFmtId="0" fontId="0" fillId="0" borderId="72" xfId="0" applyBorder="1"/>
    <xf numFmtId="0" fontId="0" fillId="0" borderId="73" xfId="0" applyBorder="1"/>
    <xf numFmtId="0" fontId="0" fillId="7" borderId="5" xfId="0" applyFill="1" applyBorder="1"/>
    <xf numFmtId="165" fontId="0" fillId="0" borderId="0" xfId="0" applyNumberFormat="1"/>
    <xf numFmtId="0" fontId="0" fillId="0" borderId="74" xfId="0" applyBorder="1"/>
    <xf numFmtId="0" fontId="0" fillId="0" borderId="36" xfId="0" applyBorder="1"/>
    <xf numFmtId="0" fontId="25" fillId="0" borderId="0" xfId="0" applyFont="1" applyAlignment="1">
      <alignment horizontal="center"/>
    </xf>
    <xf numFmtId="0" fontId="19" fillId="0" borderId="15" xfId="0" applyFont="1" applyBorder="1"/>
    <xf numFmtId="171" fontId="24" fillId="6" borderId="67" xfId="0" applyNumberFormat="1" applyFont="1" applyFill="1" applyBorder="1" applyAlignment="1" applyProtection="1">
      <alignment horizontal="center"/>
      <protection locked="0"/>
    </xf>
    <xf numFmtId="0" fontId="0" fillId="16" borderId="0" xfId="0" applyFill="1"/>
    <xf numFmtId="0" fontId="0" fillId="4" borderId="62" xfId="0" applyFill="1" applyBorder="1"/>
    <xf numFmtId="0" fontId="0" fillId="16" borderId="62" xfId="0" applyFill="1" applyBorder="1"/>
    <xf numFmtId="0" fontId="19" fillId="16" borderId="64" xfId="0" applyFont="1" applyFill="1" applyBorder="1"/>
    <xf numFmtId="0" fontId="9" fillId="16" borderId="63" xfId="0" applyFont="1" applyFill="1" applyBorder="1"/>
    <xf numFmtId="0" fontId="0" fillId="12" borderId="6" xfId="0" applyFill="1" applyBorder="1"/>
    <xf numFmtId="0" fontId="0" fillId="12" borderId="69" xfId="0" applyFill="1" applyBorder="1"/>
    <xf numFmtId="0" fontId="0" fillId="11" borderId="21" xfId="0" applyFill="1" applyBorder="1"/>
    <xf numFmtId="0" fontId="0" fillId="11" borderId="75" xfId="0" applyFill="1" applyBorder="1" applyAlignment="1">
      <alignment horizontal="center"/>
    </xf>
    <xf numFmtId="0" fontId="0" fillId="11" borderId="59" xfId="0" applyFill="1" applyBorder="1"/>
    <xf numFmtId="2" fontId="0" fillId="13" borderId="6" xfId="0" applyNumberFormat="1" applyFill="1" applyBorder="1" applyProtection="1">
      <protection locked="0"/>
    </xf>
    <xf numFmtId="0" fontId="0" fillId="7" borderId="0" xfId="0" applyFill="1"/>
    <xf numFmtId="0" fontId="29" fillId="0" borderId="0" xfId="0" applyFont="1"/>
    <xf numFmtId="0" fontId="2" fillId="0" borderId="4" xfId="0" applyFont="1" applyBorder="1"/>
    <xf numFmtId="0" fontId="2" fillId="0" borderId="74" xfId="0" applyFont="1" applyBorder="1"/>
    <xf numFmtId="11" fontId="0" fillId="0" borderId="0" xfId="0" applyNumberFormat="1"/>
    <xf numFmtId="0" fontId="0" fillId="15" borderId="0" xfId="0" applyFill="1"/>
    <xf numFmtId="0" fontId="2" fillId="0" borderId="45" xfId="0" applyFont="1" applyBorder="1"/>
    <xf numFmtId="0" fontId="27" fillId="0" borderId="1" xfId="0" applyFont="1" applyBorder="1" applyAlignment="1">
      <alignment horizontal="centerContinuous"/>
    </xf>
    <xf numFmtId="0" fontId="27" fillId="0" borderId="2" xfId="0" applyFont="1" applyBorder="1" applyAlignment="1">
      <alignment horizontal="centerContinuous"/>
    </xf>
    <xf numFmtId="0" fontId="27" fillId="0" borderId="3" xfId="0" applyFont="1" applyBorder="1" applyAlignment="1">
      <alignment horizontal="centerContinuous"/>
    </xf>
    <xf numFmtId="0" fontId="16" fillId="0" borderId="1" xfId="0" applyFont="1" applyBorder="1" applyAlignment="1">
      <alignment horizontal="centerContinuous"/>
    </xf>
    <xf numFmtId="0" fontId="16" fillId="0" borderId="2" xfId="0" applyFont="1" applyBorder="1" applyAlignment="1">
      <alignment horizontal="centerContinuous"/>
    </xf>
    <xf numFmtId="164" fontId="0" fillId="0" borderId="6" xfId="0" applyNumberFormat="1" applyBorder="1"/>
    <xf numFmtId="0" fontId="16" fillId="0" borderId="3" xfId="0" applyFont="1" applyBorder="1" applyAlignment="1">
      <alignment horizontal="centerContinuous"/>
    </xf>
    <xf numFmtId="0" fontId="15" fillId="0" borderId="0" xfId="0" applyFont="1"/>
    <xf numFmtId="0" fontId="7" fillId="3" borderId="10" xfId="0" applyFont="1" applyFill="1" applyBorder="1" applyAlignment="1">
      <alignment horizontal="center"/>
    </xf>
    <xf numFmtId="0" fontId="7" fillId="3" borderId="31" xfId="0" applyFont="1" applyFill="1" applyBorder="1" applyAlignment="1">
      <alignment horizontal="center"/>
    </xf>
    <xf numFmtId="0" fontId="0" fillId="3" borderId="8" xfId="0" applyFill="1" applyBorder="1"/>
    <xf numFmtId="0" fontId="0" fillId="3" borderId="18" xfId="0" applyFill="1" applyBorder="1"/>
    <xf numFmtId="0" fontId="14" fillId="3" borderId="10" xfId="0" applyFont="1" applyFill="1" applyBorder="1"/>
    <xf numFmtId="0" fontId="0" fillId="3" borderId="20" xfId="0" applyFill="1" applyBorder="1"/>
    <xf numFmtId="0" fontId="0" fillId="3" borderId="21" xfId="0" applyFill="1" applyBorder="1"/>
    <xf numFmtId="0" fontId="0" fillId="0" borderId="22" xfId="0" applyBorder="1" applyAlignment="1">
      <alignment horizontal="center"/>
    </xf>
    <xf numFmtId="0" fontId="0" fillId="0" borderId="59" xfId="0" applyBorder="1" applyAlignment="1">
      <alignment horizontal="center"/>
    </xf>
    <xf numFmtId="0" fontId="19" fillId="4" borderId="64" xfId="0" applyFont="1" applyFill="1" applyBorder="1"/>
    <xf numFmtId="0" fontId="0" fillId="12" borderId="10" xfId="0" applyFill="1" applyBorder="1"/>
    <xf numFmtId="0" fontId="0" fillId="4" borderId="45" xfId="0" applyFill="1" applyBorder="1"/>
    <xf numFmtId="0" fontId="0" fillId="0" borderId="29" xfId="0" quotePrefix="1" applyBorder="1"/>
    <xf numFmtId="0" fontId="0" fillId="0" borderId="65" xfId="0" applyBorder="1"/>
    <xf numFmtId="0" fontId="0" fillId="0" borderId="67" xfId="0" applyBorder="1"/>
    <xf numFmtId="168" fontId="0" fillId="6" borderId="6" xfId="0" applyNumberFormat="1" applyFill="1" applyBorder="1" applyProtection="1">
      <protection locked="0"/>
    </xf>
    <xf numFmtId="170" fontId="0" fillId="6" borderId="6" xfId="0" applyNumberFormat="1" applyFill="1" applyBorder="1" applyProtection="1">
      <protection locked="0"/>
    </xf>
    <xf numFmtId="0" fontId="0" fillId="6" borderId="6" xfId="0" applyFill="1" applyBorder="1" applyProtection="1">
      <protection locked="0"/>
    </xf>
    <xf numFmtId="168" fontId="0" fillId="6" borderId="15" xfId="0" applyNumberFormat="1" applyFill="1" applyBorder="1" applyProtection="1">
      <protection locked="0"/>
    </xf>
    <xf numFmtId="168" fontId="0" fillId="6" borderId="31" xfId="0" applyNumberFormat="1" applyFill="1" applyBorder="1" applyProtection="1">
      <protection locked="0"/>
    </xf>
    <xf numFmtId="0" fontId="0" fillId="6" borderId="31" xfId="0" applyFill="1" applyBorder="1" applyProtection="1">
      <protection locked="0"/>
    </xf>
    <xf numFmtId="168" fontId="0" fillId="6" borderId="16" xfId="0" applyNumberFormat="1" applyFill="1" applyBorder="1" applyProtection="1">
      <protection locked="0"/>
    </xf>
    <xf numFmtId="0" fontId="0" fillId="6" borderId="67" xfId="0" applyFill="1" applyBorder="1" applyProtection="1">
      <protection locked="0"/>
    </xf>
    <xf numFmtId="172" fontId="0" fillId="6" borderId="6" xfId="0" applyNumberFormat="1" applyFill="1" applyBorder="1" applyProtection="1">
      <protection locked="0"/>
    </xf>
    <xf numFmtId="173" fontId="0" fillId="6" borderId="15" xfId="0" applyNumberFormat="1" applyFill="1" applyBorder="1" applyProtection="1">
      <protection locked="0"/>
    </xf>
    <xf numFmtId="172" fontId="0" fillId="6" borderId="31" xfId="0" applyNumberFormat="1" applyFill="1" applyBorder="1" applyProtection="1">
      <protection locked="0"/>
    </xf>
    <xf numFmtId="173" fontId="0" fillId="6" borderId="16" xfId="0" applyNumberFormat="1" applyFill="1" applyBorder="1" applyProtection="1">
      <protection locked="0"/>
    </xf>
    <xf numFmtId="0" fontId="19" fillId="0" borderId="0" xfId="0" applyFont="1" applyAlignment="1">
      <alignment horizontal="left" vertical="center"/>
    </xf>
    <xf numFmtId="0" fontId="0" fillId="6" borderId="6" xfId="0" applyFill="1" applyBorder="1" applyAlignment="1" applyProtection="1">
      <alignment horizontal="center"/>
      <protection locked="0"/>
    </xf>
    <xf numFmtId="0" fontId="0" fillId="6" borderId="10" xfId="0" applyFill="1" applyBorder="1" applyAlignment="1" applyProtection="1">
      <alignment horizontal="center"/>
      <protection locked="0"/>
    </xf>
    <xf numFmtId="0" fontId="0" fillId="6" borderId="21" xfId="0" applyFill="1" applyBorder="1" applyAlignment="1" applyProtection="1">
      <alignment horizontal="center"/>
      <protection locked="0"/>
    </xf>
    <xf numFmtId="0" fontId="0" fillId="6" borderId="6" xfId="0" applyFill="1" applyBorder="1" applyAlignment="1" applyProtection="1">
      <alignment horizontal="center"/>
      <protection locked="0"/>
    </xf>
    <xf numFmtId="0" fontId="0" fillId="0" borderId="10"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6" xfId="0" applyBorder="1" applyAlignment="1">
      <alignment horizontal="center"/>
    </xf>
    <xf numFmtId="0" fontId="0" fillId="5" borderId="55" xfId="0" applyFill="1" applyBorder="1"/>
    <xf numFmtId="0" fontId="0" fillId="5" borderId="57" xfId="0" applyFill="1" applyBorder="1"/>
    <xf numFmtId="0" fontId="0" fillId="5" borderId="58" xfId="0" applyFill="1" applyBorder="1"/>
    <xf numFmtId="0" fontId="13" fillId="0" borderId="1"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5" xfId="0" applyFont="1" applyBorder="1" applyAlignment="1">
      <alignment horizontal="center"/>
    </xf>
    <xf numFmtId="0" fontId="0" fillId="5" borderId="26" xfId="0" applyFill="1" applyBorder="1"/>
    <xf numFmtId="0" fontId="0" fillId="5" borderId="0" xfId="0" applyFill="1"/>
    <xf numFmtId="0" fontId="0" fillId="5" borderId="5" xfId="0" applyFill="1" applyBorder="1"/>
    <xf numFmtId="0" fontId="14" fillId="9" borderId="45" xfId="0" applyFont="1" applyFill="1" applyBorder="1" applyAlignment="1">
      <alignment horizontal="left"/>
    </xf>
    <xf numFmtId="0" fontId="14" fillId="9" borderId="40" xfId="0" applyFont="1" applyFill="1" applyBorder="1" applyAlignment="1">
      <alignment horizontal="left"/>
    </xf>
    <xf numFmtId="0" fontId="14" fillId="9" borderId="46" xfId="0" applyFont="1" applyFill="1" applyBorder="1" applyAlignment="1">
      <alignment horizontal="left"/>
    </xf>
    <xf numFmtId="0" fontId="0" fillId="5" borderId="24" xfId="0" applyFill="1" applyBorder="1"/>
    <xf numFmtId="0" fontId="0" fillId="5" borderId="22" xfId="0" applyFill="1" applyBorder="1"/>
    <xf numFmtId="0" fontId="0" fillId="5" borderId="51" xfId="0" applyFill="1" applyBorder="1"/>
    <xf numFmtId="0" fontId="0" fillId="5" borderId="10" xfId="0" applyFill="1" applyBorder="1"/>
    <xf numFmtId="0" fontId="0" fillId="5" borderId="20" xfId="0" applyFill="1" applyBorder="1"/>
    <xf numFmtId="0" fontId="0" fillId="5" borderId="35" xfId="0" applyFill="1" applyBorder="1"/>
    <xf numFmtId="0" fontId="0" fillId="3" borderId="41" xfId="0" applyFill="1" applyBorder="1" applyAlignment="1">
      <alignment horizontal="center"/>
    </xf>
    <xf numFmtId="0" fontId="0" fillId="3" borderId="42" xfId="0" applyFill="1" applyBorder="1" applyAlignment="1">
      <alignment horizontal="center"/>
    </xf>
    <xf numFmtId="0" fontId="0" fillId="3" borderId="27" xfId="0" applyFill="1" applyBorder="1" applyAlignment="1" applyProtection="1">
      <alignment horizontal="center"/>
      <protection locked="0"/>
    </xf>
    <xf numFmtId="0" fontId="0" fillId="3" borderId="28" xfId="0" applyFill="1" applyBorder="1" applyAlignment="1" applyProtection="1">
      <alignment horizontal="center"/>
      <protection locked="0"/>
    </xf>
    <xf numFmtId="0" fontId="0" fillId="3" borderId="29" xfId="0" applyFill="1" applyBorder="1" applyAlignment="1" applyProtection="1">
      <alignment horizontal="center"/>
      <protection locked="0"/>
    </xf>
    <xf numFmtId="0" fontId="0" fillId="3" borderId="38" xfId="0" applyFill="1" applyBorder="1" applyAlignment="1">
      <alignment horizontal="center"/>
    </xf>
    <xf numFmtId="0" fontId="0" fillId="3" borderId="39" xfId="0" applyFill="1" applyBorder="1" applyAlignment="1">
      <alignment horizontal="center"/>
    </xf>
    <xf numFmtId="0" fontId="0" fillId="3" borderId="40" xfId="0" applyFill="1" applyBorder="1" applyAlignment="1">
      <alignment horizontal="center"/>
    </xf>
    <xf numFmtId="0" fontId="0" fillId="3" borderId="0" xfId="0" applyFill="1" applyAlignment="1" applyProtection="1">
      <alignment horizontal="center"/>
      <protection locked="0"/>
    </xf>
    <xf numFmtId="0" fontId="0" fillId="3" borderId="25" xfId="0" applyFill="1" applyBorder="1" applyAlignment="1" applyProtection="1">
      <alignment horizontal="center"/>
      <protection locked="0"/>
    </xf>
    <xf numFmtId="0" fontId="0" fillId="3" borderId="26" xfId="0" applyFill="1" applyBorder="1" applyAlignment="1" applyProtection="1">
      <alignment horizontal="center"/>
      <protection locked="0"/>
    </xf>
    <xf numFmtId="0" fontId="0" fillId="3" borderId="24" xfId="0" applyFill="1" applyBorder="1" applyAlignment="1" applyProtection="1">
      <alignment horizontal="center"/>
      <protection locked="0"/>
    </xf>
    <xf numFmtId="0" fontId="0" fillId="3" borderId="22" xfId="0" applyFill="1" applyBorder="1" applyAlignment="1" applyProtection="1">
      <alignment horizontal="center"/>
      <protection locked="0"/>
    </xf>
    <xf numFmtId="0" fontId="0" fillId="3" borderId="23" xfId="0" applyFill="1" applyBorder="1" applyAlignment="1" applyProtection="1">
      <alignment horizontal="center"/>
      <protection locked="0"/>
    </xf>
    <xf numFmtId="0" fontId="0" fillId="6" borderId="20" xfId="0" applyFill="1" applyBorder="1" applyAlignment="1" applyProtection="1">
      <alignment horizontal="center"/>
      <protection locked="0"/>
    </xf>
    <xf numFmtId="0" fontId="0" fillId="0" borderId="0" xfId="0" applyAlignment="1">
      <alignment horizontal="center"/>
    </xf>
    <xf numFmtId="0" fontId="25" fillId="0" borderId="34" xfId="0" applyFont="1" applyBorder="1" applyAlignment="1">
      <alignment horizontal="center"/>
    </xf>
    <xf numFmtId="0" fontId="25" fillId="0" borderId="21" xfId="0" applyFont="1" applyBorder="1" applyAlignment="1">
      <alignment horizontal="center"/>
    </xf>
    <xf numFmtId="0" fontId="25" fillId="0" borderId="37" xfId="0" applyFont="1" applyBorder="1" applyAlignment="1">
      <alignment horizontal="center"/>
    </xf>
    <xf numFmtId="0" fontId="25" fillId="0" borderId="56" xfId="0" applyFont="1" applyBorder="1" applyAlignment="1">
      <alignment horizontal="center"/>
    </xf>
    <xf numFmtId="0" fontId="25" fillId="0" borderId="52" xfId="0" applyFont="1" applyBorder="1" applyAlignment="1">
      <alignment horizontal="center"/>
    </xf>
    <xf numFmtId="0" fontId="25" fillId="0" borderId="12" xfId="0" applyFont="1" applyBorder="1" applyAlignment="1">
      <alignment horizontal="center"/>
    </xf>
    <xf numFmtId="0" fontId="25" fillId="0" borderId="14" xfId="0" applyFont="1" applyBorder="1" applyAlignment="1">
      <alignment horizontal="center"/>
    </xf>
    <xf numFmtId="0" fontId="25" fillId="0" borderId="15" xfId="0" applyFont="1" applyBorder="1" applyAlignment="1">
      <alignment horizontal="center"/>
    </xf>
    <xf numFmtId="0" fontId="11" fillId="0" borderId="27" xfId="0" applyFont="1" applyBorder="1" applyAlignment="1">
      <alignment horizontal="center"/>
    </xf>
    <xf numFmtId="0" fontId="11" fillId="0" borderId="36" xfId="0" applyFont="1"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26" xfId="0" applyBorder="1" applyAlignment="1">
      <alignment horizontal="center"/>
    </xf>
    <xf numFmtId="0" fontId="0" fillId="0" borderId="25"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75" xfId="0" applyBorder="1" applyAlignment="1">
      <alignment horizontal="center"/>
    </xf>
    <xf numFmtId="0" fontId="0" fillId="0" borderId="11" xfId="0" applyBorder="1" applyAlignment="1">
      <alignment horizontal="center"/>
    </xf>
    <xf numFmtId="0" fontId="0" fillId="0" borderId="41" xfId="0" applyBorder="1" applyAlignment="1">
      <alignment horizontal="center"/>
    </xf>
    <xf numFmtId="0" fontId="30" fillId="14" borderId="6" xfId="0" applyFont="1" applyFill="1" applyBorder="1" applyAlignment="1">
      <alignment horizontal="center"/>
    </xf>
  </cellXfs>
  <cellStyles count="3">
    <cellStyle name="Normal" xfId="0" builtinId="0"/>
    <cellStyle name="Normal 2" xfId="1" xr:uid="{31740765-884B-4A3C-9334-1A712DE2E5DF}"/>
    <cellStyle name="Normal 3" xfId="2" xr:uid="{10E9D670-6DAF-4884-95C2-663C55FE8171}"/>
  </cellStyles>
  <dxfs count="64">
    <dxf>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0" formatCode="General"/>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theme="8"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numFmt numFmtId="0" formatCode="General"/>
      <border diagonalUp="0" diagonalDown="0" outline="0">
        <left style="thin">
          <color indexed="64"/>
        </left>
        <right style="thin">
          <color indexed="64"/>
        </right>
        <top style="thin">
          <color indexed="64"/>
        </top>
        <bottom style="thin">
          <color indexed="64"/>
        </bottom>
      </border>
    </dxf>
    <dxf>
      <fill>
        <patternFill patternType="solid">
          <fgColor indexed="64"/>
          <bgColor theme="4" tint="0.39997558519241921"/>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4" tint="0.39997558519241921"/>
        </patternFill>
      </fill>
      <border diagonalUp="0" diagonalDown="0" outline="0">
        <left/>
        <right style="thin">
          <color indexed="64"/>
        </right>
        <top style="thin">
          <color indexed="64"/>
        </top>
        <bottom style="thin">
          <color indexed="64"/>
        </bottom>
      </border>
      <protection locked="0" hidden="0"/>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79998168889431442"/>
        </patternFill>
      </fill>
    </dxf>
    <dxf>
      <fill>
        <patternFill>
          <bgColor theme="8" tint="0.79998168889431442"/>
        </patternFill>
      </fill>
    </dxf>
    <dxf>
      <fill>
        <patternFill>
          <bgColor rgb="FFFFC000"/>
        </patternFill>
      </fill>
    </dxf>
    <dxf>
      <fill>
        <patternFill>
          <bgColor theme="9"/>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34998626667073579"/>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34998626667073579"/>
        </patternFill>
      </fill>
    </dxf>
    <dxf>
      <fill>
        <patternFill>
          <bgColor theme="0" tint="-0.14996795556505021"/>
        </patternFill>
      </fill>
    </dxf>
    <dxf>
      <fill>
        <patternFill>
          <bgColor theme="8" tint="0.79998168889431442"/>
        </patternFill>
      </fill>
    </dxf>
    <dxf>
      <fill>
        <patternFill>
          <bgColor theme="0" tint="-0.14996795556505021"/>
        </patternFill>
      </fill>
    </dxf>
    <dxf>
      <fill>
        <patternFill>
          <bgColor theme="9"/>
        </patternFill>
      </fill>
    </dxf>
    <dxf>
      <fill>
        <patternFill>
          <bgColor rgb="FFFFC000"/>
        </patternFill>
      </fill>
    </dxf>
    <dxf>
      <fill>
        <patternFill>
          <bgColor theme="0" tint="-0.14996795556505021"/>
        </patternFill>
      </fill>
    </dxf>
    <dxf>
      <fill>
        <patternFill>
          <bgColor theme="0" tint="-0.14996795556505021"/>
        </patternFill>
      </fill>
    </dxf>
    <dxf>
      <fill>
        <patternFill>
          <bgColor theme="0" tint="-0.14996795556505021"/>
        </patternFill>
      </fill>
    </dxf>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theme="4" tint="-0.249977111117893"/>
        </patternFill>
      </fill>
    </dxf>
    <dxf>
      <fill>
        <patternFill patternType="solid">
          <fgColor indexed="64"/>
          <bgColor theme="4" tint="-0.249977111117893"/>
        </patternFill>
      </fill>
    </dxf>
    <dxf>
      <fill>
        <patternFill patternType="solid">
          <fgColor indexed="64"/>
          <bgColor theme="4" tint="-0.249977111117893"/>
        </patternFill>
      </fill>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4" tint="-0.249977111117893"/>
        </patternFill>
      </fill>
    </dxf>
    <dxf>
      <fill>
        <patternFill patternType="solid">
          <fgColor indexed="64"/>
          <bgColor theme="4" tint="-0.249977111117893"/>
        </patternFill>
      </fill>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Van't</a:t>
            </a:r>
            <a:r>
              <a:rPr lang="da-DK" baseline="0"/>
              <a:t> Hoff Plot: ln(K) vs 1/T</a:t>
            </a:r>
            <a:endParaRPr lang="da-D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noFill/>
              <a:ln w="9525">
                <a:solidFill>
                  <a:schemeClr val="bg1"/>
                </a:solidFill>
              </a:ln>
              <a:effectLst/>
            </c:spPr>
          </c:marker>
          <c:trendline>
            <c:spPr>
              <a:ln w="12700" cap="rnd" cmpd="sng">
                <a:solidFill>
                  <a:schemeClr val="tx1"/>
                </a:solidFill>
                <a:prstDash val="solid"/>
              </a:ln>
              <a:effectLst/>
            </c:spPr>
            <c:trendlineType val="linear"/>
            <c:dispRSqr val="0"/>
            <c:dispEq val="0"/>
          </c:trendline>
          <c:xVal>
            <c:numRef>
              <c:f>Termodynamik!$BQ$16:$BQ$18</c:f>
              <c:numCache>
                <c:formatCode>General</c:formatCode>
                <c:ptCount val="3"/>
                <c:pt idx="0">
                  <c:v>5.0000000000000001E-3</c:v>
                </c:pt>
                <c:pt idx="1">
                  <c:v>7.4505654979212916E-4</c:v>
                </c:pt>
                <c:pt idx="2">
                  <c:v>2E-3</c:v>
                </c:pt>
              </c:numCache>
            </c:numRef>
          </c:xVal>
          <c:yVal>
            <c:numRef>
              <c:f>Termodynamik!$BR$16:$BR$18</c:f>
              <c:numCache>
                <c:formatCode>General</c:formatCode>
                <c:ptCount val="3"/>
                <c:pt idx="0">
                  <c:v>9.3200701916179387</c:v>
                </c:pt>
                <c:pt idx="1">
                  <c:v>-0.84932124243277496</c:v>
                </c:pt>
                <c:pt idx="2">
                  <c:v>2.1500161922723784</c:v>
                </c:pt>
              </c:numCache>
            </c:numRef>
          </c:yVal>
          <c:smooth val="0"/>
          <c:extLst>
            <c:ext xmlns:c16="http://schemas.microsoft.com/office/drawing/2014/chart" uri="{C3380CC4-5D6E-409C-BE32-E72D297353CC}">
              <c16:uniqueId val="{00000001-30F6-4345-870B-5B94D85A888F}"/>
            </c:ext>
          </c:extLst>
        </c:ser>
        <c:dLbls>
          <c:showLegendKey val="0"/>
          <c:showVal val="0"/>
          <c:showCatName val="0"/>
          <c:showSerName val="0"/>
          <c:showPercent val="0"/>
          <c:showBubbleSize val="0"/>
        </c:dLbls>
        <c:axId val="1800491631"/>
        <c:axId val="1804618975"/>
      </c:scatterChart>
      <c:valAx>
        <c:axId val="180049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1/T</a:t>
                </a:r>
                <a:r>
                  <a:rPr lang="da-DK" baseline="0"/>
                  <a:t> (1/K)</a:t>
                </a:r>
                <a:endParaRPr lang="da-DK"/>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04618975"/>
        <c:crosses val="autoZero"/>
        <c:crossBetween val="midCat"/>
      </c:valAx>
      <c:valAx>
        <c:axId val="1804618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ln(K)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00491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ΔG°</a:t>
            </a:r>
            <a:r>
              <a:rPr lang="da-DK" baseline="0"/>
              <a:t> vs 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0.116315434251218"/>
          <c:y val="0.17503708515167013"/>
          <c:w val="0.84039014811610202"/>
          <c:h val="0.70129471027503953"/>
        </c:manualLayout>
      </c:layout>
      <c:scatterChart>
        <c:scatterStyle val="lineMarker"/>
        <c:varyColors val="0"/>
        <c:ser>
          <c:idx val="0"/>
          <c:order val="0"/>
          <c:spPr>
            <a:ln w="25400" cap="rnd">
              <a:noFill/>
              <a:round/>
            </a:ln>
            <a:effectLst/>
          </c:spPr>
          <c:marker>
            <c:symbol val="circle"/>
            <c:size val="5"/>
            <c:spPr>
              <a:noFill/>
              <a:ln w="9525">
                <a:noFill/>
              </a:ln>
              <a:effectLst/>
            </c:spPr>
          </c:marker>
          <c:trendline>
            <c:spPr>
              <a:ln w="12700" cap="rnd">
                <a:solidFill>
                  <a:schemeClr val="tx1"/>
                </a:solidFill>
                <a:prstDash val="solid"/>
              </a:ln>
              <a:effectLst/>
            </c:spPr>
            <c:trendlineType val="linear"/>
            <c:dispRSqr val="0"/>
            <c:dispEq val="0"/>
          </c:trendline>
          <c:xVal>
            <c:numRef>
              <c:f>Termodynamik!$BO$16:$BO$18</c:f>
              <c:numCache>
                <c:formatCode>General</c:formatCode>
                <c:ptCount val="3"/>
                <c:pt idx="0">
                  <c:v>200</c:v>
                </c:pt>
                <c:pt idx="1">
                  <c:v>1342.18</c:v>
                </c:pt>
                <c:pt idx="2">
                  <c:v>500</c:v>
                </c:pt>
              </c:numCache>
            </c:numRef>
          </c:xVal>
          <c:yVal>
            <c:numRef>
              <c:f>Termodynamik!$BP$16:$BP$18</c:f>
              <c:numCache>
                <c:formatCode>General</c:formatCode>
                <c:ptCount val="3"/>
                <c:pt idx="0">
                  <c:v>-15.498158320237637</c:v>
                </c:pt>
                <c:pt idx="1">
                  <c:v>9.4779336414843272</c:v>
                </c:pt>
                <c:pt idx="2">
                  <c:v>-8.9380473145147317</c:v>
                </c:pt>
              </c:numCache>
            </c:numRef>
          </c:yVal>
          <c:smooth val="0"/>
          <c:extLst>
            <c:ext xmlns:c16="http://schemas.microsoft.com/office/drawing/2014/chart" uri="{C3380CC4-5D6E-409C-BE32-E72D297353CC}">
              <c16:uniqueId val="{00000001-4804-4E37-91F3-F0055A92ACC5}"/>
            </c:ext>
          </c:extLst>
        </c:ser>
        <c:dLbls>
          <c:showLegendKey val="0"/>
          <c:showVal val="0"/>
          <c:showCatName val="0"/>
          <c:showSerName val="0"/>
          <c:showPercent val="0"/>
          <c:showBubbleSize val="0"/>
        </c:dLbls>
        <c:axId val="1746622511"/>
        <c:axId val="1804616575"/>
      </c:scatterChart>
      <c:valAx>
        <c:axId val="174662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Temperatur</a:t>
                </a:r>
                <a:r>
                  <a:rPr lang="da-DK" baseline="0"/>
                  <a:t> (</a:t>
                </a:r>
                <a:r>
                  <a:rPr lang="da-DK"/>
                  <a:t>K)</a:t>
                </a:r>
              </a:p>
            </c:rich>
          </c:tx>
          <c:layout>
            <c:manualLayout>
              <c:xMode val="edge"/>
              <c:yMode val="edge"/>
              <c:x val="0.43488323432698883"/>
              <c:y val="0.92288175319567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04616575"/>
        <c:crosses val="autoZero"/>
        <c:crossBetween val="midCat"/>
      </c:valAx>
      <c:valAx>
        <c:axId val="1804616575"/>
        <c:scaling>
          <c:orientation val="minMax"/>
        </c:scaling>
        <c:delete val="0"/>
        <c:axPos val="l"/>
        <c:minorGridlines>
          <c:spPr>
            <a:ln w="9525" cap="flat" cmpd="sng" algn="ctr">
              <a:no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ΔG°</a:t>
                </a:r>
                <a:r>
                  <a:rPr lang="da-DK" baseline="0"/>
                  <a:t> -beregnet (kJ/mol)</a:t>
                </a:r>
                <a:endParaRPr lang="da-DK"/>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466225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Reaktionsordener!$J$4</c:f>
          <c:strCache>
            <c:ptCount val="1"/>
            <c:pt idx="0">
              <c:v>[A] vs tid  -   0. ordens reaktion</c:v>
            </c:pt>
          </c:strCache>
        </c:strRef>
      </c:tx>
      <c:layout>
        <c:manualLayout>
          <c:xMode val="edge"/>
          <c:yMode val="edge"/>
          <c:x val="0.14454608207883371"/>
          <c:y val="2.53303920825571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2371034768514569"/>
                  <c:y val="-0.596754784518809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Reaktionsordener!$B$10:$B$99</c:f>
              <c:numCache>
                <c:formatCode>0.00</c:formatCode>
                <c:ptCount val="90"/>
              </c:numCache>
            </c:numRef>
          </c:xVal>
          <c:yVal>
            <c:numRef>
              <c:f>Reaktionsordener!$C$10:$C$99</c:f>
              <c:numCache>
                <c:formatCode>0.00</c:formatCode>
                <c:ptCount val="90"/>
              </c:numCache>
            </c:numRef>
          </c:yVal>
          <c:smooth val="0"/>
          <c:extLst>
            <c:ext xmlns:c16="http://schemas.microsoft.com/office/drawing/2014/chart" uri="{C3380CC4-5D6E-409C-BE32-E72D297353CC}">
              <c16:uniqueId val="{00000001-C6CA-43B8-8EE1-C1E200FA86DC}"/>
            </c:ext>
          </c:extLst>
        </c:ser>
        <c:dLbls>
          <c:showLegendKey val="0"/>
          <c:showVal val="0"/>
          <c:showCatName val="0"/>
          <c:showSerName val="0"/>
          <c:showPercent val="0"/>
          <c:showBubbleSize val="0"/>
        </c:dLbls>
        <c:axId val="1308125904"/>
        <c:axId val="755346687"/>
      </c:scatterChart>
      <c:valAx>
        <c:axId val="1308125904"/>
        <c:scaling>
          <c:orientation val="minMax"/>
        </c:scaling>
        <c:delete val="0"/>
        <c:axPos val="b"/>
        <c:title>
          <c:tx>
            <c:strRef>
              <c:f>Reaktionsordener!$B$9</c:f>
              <c:strCache>
                <c:ptCount val="1"/>
                <c:pt idx="0">
                  <c:v>t / 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5346687"/>
        <c:crosses val="autoZero"/>
        <c:crossBetween val="midCat"/>
      </c:valAx>
      <c:valAx>
        <c:axId val="755346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Reaktionsordener!$C$9</c:f>
              <c:strCache>
                <c:ptCount val="1"/>
                <c:pt idx="0">
                  <c:v>[A] / 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08125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Reaktionsordener!$J$20</c:f>
          <c:strCache>
            <c:ptCount val="1"/>
            <c:pt idx="0">
              <c:v>ln([A]) vs tid  -   1. ordens reaktion</c:v>
            </c:pt>
          </c:strCache>
        </c:strRef>
      </c:tx>
      <c:layout>
        <c:manualLayout>
          <c:xMode val="edge"/>
          <c:yMode val="edge"/>
          <c:x val="7.4836263642520259E-2"/>
          <c:y val="3.2393440192070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118832901867864"/>
                  <c:y val="-0.7213716099178552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Reaktionsordener!$B$10:$B$99</c:f>
              <c:numCache>
                <c:formatCode>0.00</c:formatCode>
                <c:ptCount val="90"/>
              </c:numCache>
            </c:numRef>
          </c:xVal>
          <c:yVal>
            <c:numRef>
              <c:f>Reaktionsordener!$D$10:$D$99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BFA8-4626-BDFB-DD095F5C34F7}"/>
            </c:ext>
          </c:extLst>
        </c:ser>
        <c:dLbls>
          <c:showLegendKey val="0"/>
          <c:showVal val="0"/>
          <c:showCatName val="0"/>
          <c:showSerName val="0"/>
          <c:showPercent val="0"/>
          <c:showBubbleSize val="0"/>
        </c:dLbls>
        <c:axId val="1308125904"/>
        <c:axId val="755346687"/>
      </c:scatterChart>
      <c:valAx>
        <c:axId val="1308125904"/>
        <c:scaling>
          <c:orientation val="minMax"/>
        </c:scaling>
        <c:delete val="0"/>
        <c:axPos val="b"/>
        <c:title>
          <c:tx>
            <c:strRef>
              <c:f>Reaktionsordener!$B$9</c:f>
              <c:strCache>
                <c:ptCount val="1"/>
                <c:pt idx="0">
                  <c:v>t / 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5346687"/>
        <c:crosses val="autoZero"/>
        <c:crossBetween val="midCat"/>
      </c:valAx>
      <c:valAx>
        <c:axId val="755346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Reaktionsordener!$D$9</c:f>
              <c:strCache>
                <c:ptCount val="1"/>
                <c:pt idx="0">
                  <c:v>ln([A])</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08125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Reaktionsordener!$J$36</c:f>
          <c:strCache>
            <c:ptCount val="1"/>
            <c:pt idx="0">
              <c:v>1/[A] vs tid  -   2. ordens reaktion</c:v>
            </c:pt>
          </c:strCache>
        </c:strRef>
      </c:tx>
      <c:layout>
        <c:manualLayout>
          <c:xMode val="edge"/>
          <c:yMode val="edge"/>
          <c:x val="0.135638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232168753775687"/>
                  <c:y val="-0.191407324704532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Reaktionsordener!$B$10:$B$99</c:f>
              <c:numCache>
                <c:formatCode>0.00</c:formatCode>
                <c:ptCount val="90"/>
              </c:numCache>
            </c:numRef>
          </c:xVal>
          <c:yVal>
            <c:numRef>
              <c:f>Reaktionsordener!$E$10:$E$99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C06F-4622-A5AC-1ED9FFC3F24B}"/>
            </c:ext>
          </c:extLst>
        </c:ser>
        <c:dLbls>
          <c:showLegendKey val="0"/>
          <c:showVal val="0"/>
          <c:showCatName val="0"/>
          <c:showSerName val="0"/>
          <c:showPercent val="0"/>
          <c:showBubbleSize val="0"/>
        </c:dLbls>
        <c:axId val="1308125904"/>
        <c:axId val="755346687"/>
      </c:scatterChart>
      <c:valAx>
        <c:axId val="1308125904"/>
        <c:scaling>
          <c:orientation val="minMax"/>
        </c:scaling>
        <c:delete val="0"/>
        <c:axPos val="b"/>
        <c:title>
          <c:tx>
            <c:strRef>
              <c:f>Reaktionsordener!$B$9</c:f>
              <c:strCache>
                <c:ptCount val="1"/>
                <c:pt idx="0">
                  <c:v>t / 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5346687"/>
        <c:crosses val="autoZero"/>
        <c:crossBetween val="midCat"/>
      </c:valAx>
      <c:valAx>
        <c:axId val="755346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Reaktionsordener!$E$9</c:f>
              <c:strCache>
                <c:ptCount val="1"/>
                <c:pt idx="0">
                  <c:v>1/[A] / M⁻¹</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08125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'Aktiveringsenergi (Arrhenius)'!$R$7</c:f>
          <c:strCache>
            <c:ptCount val="1"/>
            <c:pt idx="0">
              <c:v>ln(k) vs 1/T</c:v>
            </c:pt>
          </c:strCache>
        </c:strRef>
      </c:tx>
      <c:layout>
        <c:manualLayout>
          <c:xMode val="edge"/>
          <c:yMode val="edge"/>
          <c:x val="0.43557178835182725"/>
          <c:y val="5.569571480332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8646324080688073"/>
                  <c:y val="-0.674007490061640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'Aktiveringsenergi (Arrhenius)'!$R$8:$R$99</c:f>
              <c:numCache>
                <c:formatCode>General</c:formatCode>
                <c:ptCount val="92"/>
                <c:pt idx="0">
                  <c:v>0</c:v>
                </c:pt>
              </c:numCache>
            </c:numRef>
          </c:xVal>
          <c:yVal>
            <c:numRef>
              <c:f>'Aktiveringsenergi (Arrhenius)'!$S$8:$S$99</c:f>
              <c:numCache>
                <c:formatCode>General</c:formatCode>
                <c:ptCount val="92"/>
              </c:numCache>
            </c:numRef>
          </c:yVal>
          <c:smooth val="0"/>
          <c:extLst>
            <c:ext xmlns:c16="http://schemas.microsoft.com/office/drawing/2014/chart" uri="{C3380CC4-5D6E-409C-BE32-E72D297353CC}">
              <c16:uniqueId val="{00000001-8815-48CD-A5AA-F5E5E4D0989A}"/>
            </c:ext>
          </c:extLst>
        </c:ser>
        <c:dLbls>
          <c:showLegendKey val="0"/>
          <c:showVal val="0"/>
          <c:showCatName val="0"/>
          <c:showSerName val="0"/>
          <c:showPercent val="0"/>
          <c:showBubbleSize val="0"/>
        </c:dLbls>
        <c:axId val="1448241263"/>
        <c:axId val="1392455343"/>
      </c:scatterChart>
      <c:valAx>
        <c:axId val="1448241263"/>
        <c:scaling>
          <c:orientation val="minMax"/>
        </c:scaling>
        <c:delete val="0"/>
        <c:axPos val="b"/>
        <c:title>
          <c:tx>
            <c:strRef>
              <c:f>'Aktiveringsenergi (Arrhenius)'!$E$9</c:f>
              <c:strCache>
                <c:ptCount val="1"/>
                <c:pt idx="0">
                  <c:v>1/T angivet i K⁻¹</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92455343"/>
        <c:crosses val="autoZero"/>
        <c:crossBetween val="midCat"/>
      </c:valAx>
      <c:valAx>
        <c:axId val="1392455343"/>
        <c:scaling>
          <c:orientation val="minMax"/>
        </c:scaling>
        <c:delete val="0"/>
        <c:axPos val="l"/>
        <c:majorGridlines>
          <c:spPr>
            <a:ln w="9525" cap="flat" cmpd="sng" algn="ctr">
              <a:solidFill>
                <a:schemeClr val="tx1">
                  <a:lumMod val="15000"/>
                  <a:lumOff val="85000"/>
                </a:schemeClr>
              </a:solidFill>
              <a:round/>
            </a:ln>
            <a:effectLst/>
          </c:spPr>
        </c:majorGridlines>
        <c:title>
          <c:tx>
            <c:strRef>
              <c:f>'Aktiveringsenergi (Arrhenius)'!$F$9</c:f>
              <c:strCache>
                <c:ptCount val="1"/>
                <c:pt idx="0">
                  <c:v>ln(k)</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48241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4432</xdr:colOff>
      <xdr:row>30</xdr:row>
      <xdr:rowOff>167023</xdr:rowOff>
    </xdr:from>
    <xdr:to>
      <xdr:col>18</xdr:col>
      <xdr:colOff>53998</xdr:colOff>
      <xdr:row>44</xdr:row>
      <xdr:rowOff>68961</xdr:rowOff>
    </xdr:to>
    <xdr:graphicFrame macro="">
      <xdr:nvGraphicFramePr>
        <xdr:cNvPr id="2" name="Chart 1">
          <a:extLst>
            <a:ext uri="{FF2B5EF4-FFF2-40B4-BE49-F238E27FC236}">
              <a16:creationId xmlns:a16="http://schemas.microsoft.com/office/drawing/2014/main" id="{E7E380FC-0D37-42EB-BC9B-F4C08B817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31</xdr:row>
      <xdr:rowOff>56750</xdr:rowOff>
    </xdr:from>
    <xdr:to>
      <xdr:col>8</xdr:col>
      <xdr:colOff>0</xdr:colOff>
      <xdr:row>44</xdr:row>
      <xdr:rowOff>126467</xdr:rowOff>
    </xdr:to>
    <xdr:graphicFrame macro="">
      <xdr:nvGraphicFramePr>
        <xdr:cNvPr id="3" name="Chart 2">
          <a:extLst>
            <a:ext uri="{FF2B5EF4-FFF2-40B4-BE49-F238E27FC236}">
              <a16:creationId xmlns:a16="http://schemas.microsoft.com/office/drawing/2014/main" id="{1E3705A1-C9D3-4A38-B43F-19A8B6D7B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182217</xdr:colOff>
      <xdr:row>2</xdr:row>
      <xdr:rowOff>3727</xdr:rowOff>
    </xdr:from>
    <xdr:to>
      <xdr:col>8</xdr:col>
      <xdr:colOff>487017</xdr:colOff>
      <xdr:row>17</xdr:row>
      <xdr:rowOff>79927</xdr:rowOff>
    </xdr:to>
    <xdr:graphicFrame macro="">
      <xdr:nvGraphicFramePr>
        <xdr:cNvPr id="2" name="Chart 1">
          <a:extLst>
            <a:ext uri="{FF2B5EF4-FFF2-40B4-BE49-F238E27FC236}">
              <a16:creationId xmlns:a16="http://schemas.microsoft.com/office/drawing/2014/main" id="{DC52EEE3-BCDE-4C56-9E2A-E44C8F92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207066</xdr:colOff>
      <xdr:row>19</xdr:row>
      <xdr:rowOff>0</xdr:rowOff>
    </xdr:from>
    <xdr:to>
      <xdr:col>8</xdr:col>
      <xdr:colOff>511866</xdr:colOff>
      <xdr:row>33</xdr:row>
      <xdr:rowOff>76200</xdr:rowOff>
    </xdr:to>
    <xdr:graphicFrame macro="">
      <xdr:nvGraphicFramePr>
        <xdr:cNvPr id="3" name="Chart 2">
          <a:extLst>
            <a:ext uri="{FF2B5EF4-FFF2-40B4-BE49-F238E27FC236}">
              <a16:creationId xmlns:a16="http://schemas.microsoft.com/office/drawing/2014/main" id="{6B617E9F-14DB-40D9-8375-8973226B6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35</xdr:row>
      <xdr:rowOff>0</xdr:rowOff>
    </xdr:from>
    <xdr:to>
      <xdr:col>8</xdr:col>
      <xdr:colOff>495300</xdr:colOff>
      <xdr:row>49</xdr:row>
      <xdr:rowOff>76200</xdr:rowOff>
    </xdr:to>
    <xdr:graphicFrame macro="">
      <xdr:nvGraphicFramePr>
        <xdr:cNvPr id="4" name="Chart 3">
          <a:extLst>
            <a:ext uri="{FF2B5EF4-FFF2-40B4-BE49-F238E27FC236}">
              <a16:creationId xmlns:a16="http://schemas.microsoft.com/office/drawing/2014/main" id="{865A0626-626C-4E23-8511-7031E8D80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6620</xdr:colOff>
      <xdr:row>2</xdr:row>
      <xdr:rowOff>186527</xdr:rowOff>
    </xdr:from>
    <xdr:to>
      <xdr:col>8</xdr:col>
      <xdr:colOff>343816</xdr:colOff>
      <xdr:row>17</xdr:row>
      <xdr:rowOff>72227</xdr:rowOff>
    </xdr:to>
    <xdr:graphicFrame macro="">
      <xdr:nvGraphicFramePr>
        <xdr:cNvPr id="2" name="Chart 1">
          <a:extLst>
            <a:ext uri="{FF2B5EF4-FFF2-40B4-BE49-F238E27FC236}">
              <a16:creationId xmlns:a16="http://schemas.microsoft.com/office/drawing/2014/main" id="{AA2E372F-6F84-4D59-BF9F-C51F73BD9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els Kaldal Kræmmer" id="{6AEFE046-807B-4809-B0DA-2BFD3DDA89DA}" userId="S::nk@middelfart-gym.dk::928295d7-707e-457b-96e5-9240c61eb5e7"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6D185-364F-4292-B39E-E16C3397D79B}" name="Table1" displayName="Table1" ref="B10:E99" headerRowCount="0" totalsRowShown="0" headerRowDxfId="63">
  <tableColumns count="4">
    <tableColumn id="1" xr3:uid="{7ECA6093-3CC0-4DBF-853D-2FB99210200F}" name="t / s" headerRowDxfId="62" dataDxfId="5"/>
    <tableColumn id="2" xr3:uid="{BAFC4E6E-A8E3-4455-8B2A-E225963F3CDB}" name="[A] / M" headerRowDxfId="61" dataDxfId="4"/>
    <tableColumn id="3" xr3:uid="{404041F2-3143-4628-98B6-2A154408C0F8}" name="ln [A]" dataDxfId="3">
      <calculatedColumnFormula>IF(Table1[[#This Row],['[A'] / M]]="","",LN(Table1[[#This Row],['[A'] / M]]))</calculatedColumnFormula>
    </tableColumn>
    <tableColumn id="4" xr3:uid="{BF6A4137-B1C4-43F8-AF5C-2C2C6DFA9FC6}" name="1/[A] / M⁻¹" dataDxfId="60">
      <calculatedColumnFormula>IF(Table1[[#This Row],['[A'] / M]]="","",1/Table1[[#This Row],['[A'] / 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AC1F17-9CEA-4F48-B080-201AE29348F9}" name="Table13" displayName="Table13" ref="B10:F99" headerRowCount="0" totalsRowShown="0" headerRowDxfId="59" dataDxfId="58">
  <tableColumns count="5">
    <tableColumn id="1" xr3:uid="{AD7B3E48-4754-4D31-971D-9EC96ECD528C}" name="t / s" headerRowDxfId="57" dataDxfId="2"/>
    <tableColumn id="2" xr3:uid="{C60C01C3-E7B9-44BF-94EB-AB9EEB574950}" name="[A] / M" headerRowDxfId="56" dataDxfId="0"/>
    <tableColumn id="5" xr3:uid="{7CA65017-9B85-45EA-9961-B670A804A67C}" name="Column1" headerRowDxfId="55" dataDxfId="1">
      <calculatedColumnFormula>IF(Table13[[#This Row],[t / s]]="","",IF($B$5="K",Table13[[#This Row],[t / s]],Table13[[#This Row],[t / s]]+273.15))</calculatedColumnFormula>
    </tableColumn>
    <tableColumn id="3" xr3:uid="{EA426C68-A011-444D-816A-40CBFFF1535A}" name="ln [A]" dataDxfId="54">
      <calculatedColumnFormula>IF(Table13[[#This Row],[t / s]]="","",1/Table13[[#This Row],[Column1]])</calculatedColumnFormula>
    </tableColumn>
    <tableColumn id="4" xr3:uid="{C6D0CA92-4311-45C2-ABCC-4E25D4FC6475}" name="1/[A] / M⁻¹" dataDxfId="53">
      <calculatedColumnFormula>IF(Table13[[#This Row],['[A'] / M]]="","",LN(Table13[[#This Row],['[A'] / 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3" dT="2023-10-23T18:46:29.65" personId="{6AEFE046-807B-4809-B0DA-2BFD3DDA89DA}" id="{23DBB8C4-89CB-4674-A0CD-D80C2026B417}">
    <text>Det her er opgangningsfaktoren. Der er 2 forskellige fejl ved den her metode. Det ene er, at den ikke kan finde ud af at gange med 3. Det kan måske løses ved at sammenligne mellem hvordan faktoren er lavest ( i den ene værdi skal man forsøge at gange med 3 inden man laver darklab shit).
Den anden lidt mere irriterende fejl er hvis der både er en opgang med 2 og 3 i 2 forskellige forbindelser.. Det vil altså svare til 6. Det kunne måske løses ved at tjekke om tallet er heltalligt efter opgangning O_o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0FB8-BC5F-4017-BB74-ACC285491C9A}">
  <dimension ref="A1:CJ1610"/>
  <sheetViews>
    <sheetView zoomScale="120" zoomScaleNormal="85" workbookViewId="0">
      <selection activeCell="P6" sqref="P6"/>
    </sheetView>
  </sheetViews>
  <sheetFormatPr defaultRowHeight="15"/>
  <cols>
    <col min="2" max="2" width="14.5703125" customWidth="1"/>
    <col min="3" max="3" width="11.140625" customWidth="1"/>
    <col min="4" max="4" width="14.140625" customWidth="1"/>
    <col min="5" max="5" width="10.7109375" customWidth="1"/>
    <col min="6" max="6" width="8.5703125" customWidth="1"/>
    <col min="7" max="7" width="11.140625" customWidth="1"/>
    <col min="8" max="8" width="10.140625" customWidth="1"/>
    <col min="9" max="9" width="9" customWidth="1"/>
    <col min="10" max="10" width="11.5703125" customWidth="1"/>
    <col min="11" max="11" width="10.42578125" customWidth="1"/>
    <col min="12" max="12" width="5.140625" customWidth="1"/>
    <col min="13" max="13" width="10" customWidth="1"/>
    <col min="14" max="14" width="8.5703125" customWidth="1"/>
    <col min="15" max="15" width="11.7109375" customWidth="1"/>
    <col min="16" max="16" width="12.85546875" customWidth="1"/>
    <col min="17" max="17" width="9.28515625" customWidth="1"/>
    <col min="18" max="18" width="9.85546875" customWidth="1"/>
    <col min="19" max="19" width="11" customWidth="1"/>
    <col min="20" max="20" width="8.7109375" customWidth="1"/>
    <col min="21" max="21" width="11.5703125" customWidth="1"/>
    <col min="22" max="22" width="10.85546875" customWidth="1"/>
    <col min="32" max="32" width="13.42578125" customWidth="1"/>
    <col min="33" max="33" width="21.28515625" customWidth="1"/>
    <col min="34" max="34" width="16.85546875" customWidth="1"/>
    <col min="39" max="45" width="13.140625" customWidth="1"/>
    <col min="46" max="46" width="26.140625" customWidth="1"/>
    <col min="47" max="47" width="20.28515625" customWidth="1"/>
    <col min="48" max="49" width="14.42578125" customWidth="1"/>
    <col min="50" max="50" width="11.42578125" customWidth="1"/>
    <col min="52" max="52" width="8.85546875" bestFit="1" customWidth="1"/>
    <col min="53" max="53" width="8" customWidth="1"/>
    <col min="54" max="54" width="10.140625" customWidth="1"/>
    <col min="55" max="55" width="13.7109375" customWidth="1"/>
    <col min="56" max="56" width="8.85546875" bestFit="1" customWidth="1"/>
    <col min="58" max="59" width="8.85546875" bestFit="1" customWidth="1"/>
    <col min="61" max="62" width="8.85546875" bestFit="1" customWidth="1"/>
    <col min="67" max="67" width="8.85546875" bestFit="1" customWidth="1"/>
    <col min="68" max="68" width="13.140625" customWidth="1"/>
    <col min="69" max="69" width="11.140625" customWidth="1"/>
    <col min="70" max="71" width="8.85546875" bestFit="1" customWidth="1"/>
    <col min="73" max="73" width="8.85546875" bestFit="1" customWidth="1"/>
    <col min="74" max="74" width="8.85546875" customWidth="1"/>
    <col min="76" max="77" width="8.85546875" bestFit="1" customWidth="1"/>
    <col min="79" max="79" width="8.85546875" bestFit="1" customWidth="1"/>
    <col min="81" max="83" width="8.85546875" bestFit="1" customWidth="1"/>
    <col min="84" max="84" width="12.85546875" bestFit="1" customWidth="1"/>
    <col min="85" max="86" width="8.85546875" bestFit="1" customWidth="1"/>
  </cols>
  <sheetData>
    <row r="1" spans="1:88" ht="46.5">
      <c r="A1" s="1"/>
      <c r="B1" s="2"/>
      <c r="C1" s="3" t="s">
        <v>5617</v>
      </c>
      <c r="D1" s="4"/>
      <c r="E1" s="4"/>
      <c r="F1" s="3"/>
      <c r="G1" s="4"/>
      <c r="H1" s="4"/>
      <c r="I1" s="3"/>
      <c r="J1" s="4"/>
      <c r="K1" s="4"/>
      <c r="L1" s="4"/>
      <c r="M1" s="4"/>
      <c r="N1" s="4"/>
      <c r="O1" s="4"/>
      <c r="P1" s="4"/>
      <c r="Q1" s="4"/>
      <c r="R1" s="4"/>
      <c r="S1" s="4"/>
      <c r="T1" s="4"/>
      <c r="U1" s="4"/>
      <c r="V1" s="4"/>
      <c r="W1" s="5"/>
      <c r="AE1" t="s">
        <v>5848</v>
      </c>
      <c r="AN1" s="6"/>
      <c r="AO1" s="6"/>
      <c r="AP1" s="6"/>
      <c r="AQ1" s="6"/>
      <c r="AW1" s="228" t="s">
        <v>5793</v>
      </c>
      <c r="AZ1" t="b">
        <f>AV17&lt;100000000000000</f>
        <v>0</v>
      </c>
      <c r="BA1">
        <f>100000000000000000000</f>
        <v>1E+20</v>
      </c>
      <c r="BX1">
        <f>(10/($CG$1^$CG$1*$CG$2^$CG$2))^(1/($CG$1+$CG$2))</f>
        <v>3.1622776601683795</v>
      </c>
      <c r="CE1" t="s">
        <v>0</v>
      </c>
      <c r="CF1" t="s">
        <v>1</v>
      </c>
      <c r="CG1">
        <f>BI13</f>
        <v>1</v>
      </c>
      <c r="CI1" t="s">
        <v>2</v>
      </c>
      <c r="CJ1" t="str">
        <f>IF(OR(AI5="ikke i databog",AI5=""),"",AS5)</f>
        <v/>
      </c>
    </row>
    <row r="2" spans="1:88" ht="28.5" customHeight="1" thickBot="1">
      <c r="A2" s="7"/>
      <c r="C2" s="8" t="str">
        <f>IF(NOT(AND(AM5,AM7,AM9,AM13,AM15,AM17)),"Koefficienten skal være et tal","")</f>
        <v/>
      </c>
      <c r="G2" t="str">
        <f>IF(OR(AI5="C (s)",AI7="C (s)",AI9="C (s)",AI13="C (s)",AI15="C (s)",AI17="C (s)"),"Pas på C(s) er som udgangspunkt grafit; hvis du mener C(s,diamant), så skriv s2 som tilstandsform","")</f>
        <v/>
      </c>
      <c r="W2" s="9"/>
      <c r="BX2" s="10" t="s">
        <v>3</v>
      </c>
      <c r="BY2" s="10" t="s">
        <v>4</v>
      </c>
      <c r="CD2" t="s">
        <v>5</v>
      </c>
      <c r="CE2" t="b">
        <f>IF(CE1&lt;&gt;"",TRUE,IF(AND(E6="s",H6="",K6="",P6="aq",S6="aq",V6="",OR(RIGHT(O6)="+",RIGHT(O6)="-",RIGHT(O6)="⁺",RIGHT(O6)="⁻"),OR(RIGHT(R6)="+",RIGHT(R6)="-",RIGHT(R6)="⁺",RIGHT(R6)="⁻")),TRUE,FALSE))</f>
        <v>1</v>
      </c>
      <c r="CF2" t="s">
        <v>6</v>
      </c>
      <c r="CG2">
        <f>BI15</f>
        <v>1</v>
      </c>
      <c r="CI2" t="s">
        <v>7</v>
      </c>
      <c r="CJ2">
        <v>461</v>
      </c>
    </row>
    <row r="3" spans="1:88" ht="17.25" customHeight="1" thickBot="1">
      <c r="A3" s="7"/>
      <c r="C3" s="11" t="str">
        <f>IF(NOT(AND(AL5,AL7,AL9,AL13,AL15,AL17)),"Tilstandsformen skal skrives som: g, aq, l eller s","")</f>
        <v/>
      </c>
      <c r="W3" s="9"/>
      <c r="AT3" s="69" t="s">
        <v>8</v>
      </c>
      <c r="AU3" s="80">
        <f>IF(C19="",4,IF(C19&lt;2,2,IF(NOT(ISNUMBER(C19)),4,IF(C19&gt;8,8,C19))))</f>
        <v>4</v>
      </c>
      <c r="AV3" s="78"/>
      <c r="AW3" t="s">
        <v>5794</v>
      </c>
      <c r="AX3" t="s">
        <v>9</v>
      </c>
      <c r="BM3" t="s">
        <v>10</v>
      </c>
      <c r="BT3" s="10" t="s">
        <v>11</v>
      </c>
      <c r="BU3" s="10" t="s">
        <v>12</v>
      </c>
      <c r="BX3" s="10" t="str">
        <f t="shared" ref="BX3:BX17" si="0">IF(AH3="g",BI3,"")</f>
        <v/>
      </c>
      <c r="BY3" s="10"/>
    </row>
    <row r="4" spans="1:88" ht="19.5" thickBot="1">
      <c r="A4" s="7"/>
      <c r="C4" s="12" t="s">
        <v>13</v>
      </c>
      <c r="D4" s="13"/>
      <c r="E4" s="14"/>
      <c r="F4" s="12" t="s">
        <v>14</v>
      </c>
      <c r="G4" s="13"/>
      <c r="H4" s="14"/>
      <c r="I4" s="12" t="s">
        <v>15</v>
      </c>
      <c r="J4" s="13"/>
      <c r="K4" s="14"/>
      <c r="N4" s="12" t="s">
        <v>16</v>
      </c>
      <c r="O4" s="13"/>
      <c r="P4" s="14"/>
      <c r="Q4" s="12" t="s">
        <v>17</v>
      </c>
      <c r="R4" s="13"/>
      <c r="S4" s="14"/>
      <c r="T4" s="12" t="s">
        <v>18</v>
      </c>
      <c r="U4" s="13"/>
      <c r="V4" s="14"/>
      <c r="W4" s="9"/>
      <c r="AE4" s="10"/>
      <c r="AF4" s="10" t="s">
        <v>19</v>
      </c>
      <c r="AG4" s="15" t="s">
        <v>20</v>
      </c>
      <c r="AH4" s="10" t="s">
        <v>21</v>
      </c>
      <c r="AI4" s="16" t="s">
        <v>22</v>
      </c>
      <c r="AJ4" s="10" t="s">
        <v>23</v>
      </c>
      <c r="AK4" s="17"/>
      <c r="AL4" s="18" t="s">
        <v>24</v>
      </c>
      <c r="AM4" s="18" t="s">
        <v>25</v>
      </c>
      <c r="AP4" s="256" t="s">
        <v>26</v>
      </c>
      <c r="AQ4" s="162" t="s">
        <v>27</v>
      </c>
      <c r="AR4" s="162" t="s">
        <v>28</v>
      </c>
      <c r="AS4" s="257" t="s">
        <v>29</v>
      </c>
      <c r="AT4" s="208" t="s">
        <v>30</v>
      </c>
      <c r="AU4" s="209">
        <f>IF(AF19="",IF(AF20="","",AF20+273.15),AF19)</f>
        <v>673.15</v>
      </c>
      <c r="AV4" s="5">
        <f>IF(AU4="",298.15,AU4)</f>
        <v>673.15</v>
      </c>
      <c r="AW4">
        <f>100000000000000000000</f>
        <v>1E+20</v>
      </c>
      <c r="BA4" t="s">
        <v>31</v>
      </c>
      <c r="BB4" t="str">
        <f>IF(AI9&lt;&gt;"","H°(" &amp; IF(AI9&lt;&gt;"ikke i databog",LEFT(AI9,LEN(AI9)-4),AG9)&amp;","&amp;AH9&amp;")","")</f>
        <v/>
      </c>
      <c r="BC4" t="str">
        <f>IF(AI7&lt;&gt;"","H°(" &amp; IF(AI7&lt;&gt;"ikke i databog",LEFT(AI7,LEN(AI7)-4),AG7)&amp;","&amp;AH7&amp;")","")</f>
        <v/>
      </c>
      <c r="BD4" t="str">
        <f>IF($AI5&lt;&gt;"",BA$4&amp;"(" &amp; IF($AI5&lt;&gt;"ikke i databog",LEFT($AI5,LEN($AI5)-4),$AG5)&amp;","&amp;$AH5&amp;")","")</f>
        <v/>
      </c>
      <c r="BE4" t="s">
        <v>32</v>
      </c>
      <c r="BF4" t="str">
        <f>IF(AI13&lt;&gt;"","H°(" &amp; IF(AI13&lt;&gt;"ikke i databog",LEFT(AI13,LEN(AI13)-4),AG13)&amp;","&amp;AH13&amp;")","")</f>
        <v/>
      </c>
      <c r="BG4" t="str">
        <f>IF(AI15&lt;&gt;"","H°(" &amp; IF(AI15&lt;&gt;"ikke i databog",LEFT(AI15,LEN(AI15)-4),AG15)&amp;","&amp;AH15&amp;")","")</f>
        <v/>
      </c>
      <c r="BH4" t="str">
        <f>IF(AI17&lt;&gt;"","H°(" &amp; IF(AI17&lt;&gt;"ikke i databog",LEFT(AI17,LEN(AI17)-4),AG17)&amp;","&amp;AH17&amp;")","")</f>
        <v/>
      </c>
      <c r="BI4" s="1"/>
      <c r="BJ4" s="2"/>
      <c r="BK4" s="19"/>
      <c r="BL4" s="2"/>
      <c r="BM4" s="2" t="str">
        <f>SUBSTITUTE(SUBSTITUTE(SUBSTITUTE(SUBSTITUTE(SUBSTITUTE(SUBSTITUTE(SUBSTITUTE(IF(AND(AF8&lt;&gt;"",AF8&lt;&gt;1),"^"&amp;AF8,""),$BT$3,$BU$3),$BT$4,$BU$4),$BT$5,$BU$5),$BT$6,$BU$6),$BT$7,$BU$7),BT21,BU21),BT22,BU22)</f>
        <v/>
      </c>
      <c r="BN4" s="5" t="s">
        <v>33</v>
      </c>
      <c r="BT4" s="10" t="s">
        <v>34</v>
      </c>
      <c r="BU4" s="10" t="s">
        <v>35</v>
      </c>
      <c r="BX4" s="10" t="str">
        <f t="shared" si="0"/>
        <v/>
      </c>
      <c r="BY4" s="10"/>
      <c r="CE4" t="s">
        <v>36</v>
      </c>
      <c r="CF4" t="s">
        <v>37</v>
      </c>
      <c r="CG4" t="s">
        <v>38</v>
      </c>
      <c r="CH4" t="s">
        <v>39</v>
      </c>
    </row>
    <row r="5" spans="1:88" ht="36">
      <c r="A5" s="7"/>
      <c r="C5" s="205" t="s">
        <v>19</v>
      </c>
      <c r="D5" s="243" t="s">
        <v>20</v>
      </c>
      <c r="E5" s="244" t="s">
        <v>40</v>
      </c>
      <c r="F5" s="205" t="s">
        <v>19</v>
      </c>
      <c r="G5" s="243" t="s">
        <v>20</v>
      </c>
      <c r="H5" s="244" t="s">
        <v>40</v>
      </c>
      <c r="I5" s="205" t="s">
        <v>19</v>
      </c>
      <c r="J5" s="243" t="s">
        <v>20</v>
      </c>
      <c r="K5" s="244" t="s">
        <v>40</v>
      </c>
      <c r="L5" s="20" t="s">
        <v>41</v>
      </c>
      <c r="M5" s="21"/>
      <c r="N5" s="205" t="s">
        <v>19</v>
      </c>
      <c r="O5" s="243" t="s">
        <v>20</v>
      </c>
      <c r="P5" s="244" t="s">
        <v>40</v>
      </c>
      <c r="Q5" s="205" t="s">
        <v>19</v>
      </c>
      <c r="R5" s="243" t="s">
        <v>20</v>
      </c>
      <c r="S5" s="244" t="s">
        <v>40</v>
      </c>
      <c r="T5" s="205" t="s">
        <v>19</v>
      </c>
      <c r="U5" s="243" t="s">
        <v>20</v>
      </c>
      <c r="V5" s="244" t="s">
        <v>40</v>
      </c>
      <c r="W5" s="9"/>
      <c r="AE5" s="10" t="s">
        <v>13</v>
      </c>
      <c r="AF5" s="22">
        <f>IF(C6="",1,C6)</f>
        <v>1</v>
      </c>
      <c r="AG5" s="22" t="str">
        <f>IF(D6="","",D6)</f>
        <v/>
      </c>
      <c r="AH5" s="22" t="str">
        <f>IF(E6="","",E6)</f>
        <v/>
      </c>
      <c r="AI5" s="23" t="str">
        <f>IF(OR(AG5="",AH5=""),"",IFERROR(AO5,IFERROR(AN5,"Ikke i databog")))</f>
        <v/>
      </c>
      <c r="AJ5" s="24" t="str">
        <f>IF(C8="","",C8)</f>
        <v/>
      </c>
      <c r="AK5" s="17" t="str">
        <f>IF(AJ5="","",IF(AH5="g","bar",IF(AH5="aq","M","")))</f>
        <v/>
      </c>
      <c r="AL5" t="b">
        <f>IF(OR(AH5="g",AH5="aq",AH5="s",AH5="l",AH5="",AH5="s2"),TRUE)</f>
        <v>1</v>
      </c>
      <c r="AM5" t="b">
        <f>IF(ISNUMBER(AF5),TRUE)</f>
        <v>1</v>
      </c>
      <c r="AN5" t="e" cm="1">
        <f t="array" ref="AN5">INDEX($AG$67:$AG$1595, MATCH(AG5&amp;"-"&amp;AH5, $AH$67:$AH$1595&amp;"-"&amp;$AS$67:$AS$1595, 0))</f>
        <v>#N/A</v>
      </c>
      <c r="AO5" t="e" cm="1">
        <f t="array" ref="AO5">INDEX($AG$67:$AG$1595, MATCH(AG5&amp;"-"&amp;AH5, $AI$67:$AI$1595&amp;"-"&amp;$AS$67:$AS$1595, 0))</f>
        <v>#N/A</v>
      </c>
      <c r="AP5" s="206" t="str">
        <f>IF(OR(AI5="ikke i databog",AI5=""),"",INDEX($AY$66:$AY$1601, MATCH(AI5, $AG$66:$AG$1601, 0)))</f>
        <v/>
      </c>
      <c r="AQ5" s="206" t="str">
        <f t="shared" ref="AQ5:AQ11" si="1">IF(OR(AI5="ikke i databog",AI5=""),"",INDEX($AZ$66:$AZ$1601, MATCH(AI5, $AG$66:$AG$1601, 0)))</f>
        <v/>
      </c>
      <c r="AR5" s="206" t="str">
        <f>IF(OR(AI5="ikke i databog",AI5=""),"",INDEX($BB$66:$BB$1601, MATCH(AI5, $AG$66:$AG$1601, 0)))</f>
        <v/>
      </c>
      <c r="AS5" s="255" t="str">
        <f t="shared" ref="AS5:AS11" si="2">IF(OR(AI5="ikke i databog",AI5=""),"",INDEX($AX$66:$AX$1601,MATCH(AI5,$AG$66:$AG$1601,0)))</f>
        <v/>
      </c>
      <c r="AT5" s="1" t="s">
        <v>42</v>
      </c>
      <c r="AU5" s="2"/>
      <c r="AV5" s="2"/>
      <c r="AW5" s="2"/>
      <c r="AX5" s="5" t="b">
        <f>AND(COUNTA(E6,H6,K6)&gt;0,COUNTA(P6,S6,V6)&gt;0)</f>
        <v>0</v>
      </c>
      <c r="AZ5" s="25" t="str">
        <f>IF(AND(AF5&lt;&gt;1,AF5&lt;&gt;""),AF5&amp;" ∙ ","")</f>
        <v/>
      </c>
      <c r="BB5" s="10" t="str">
        <f>IF($AG$9&lt;&gt;"",(BR5)*IF($AF$9&lt;&gt;"",$AF$9,1),"")</f>
        <v/>
      </c>
      <c r="BC5" s="10" t="str">
        <f>IF($AG$7&lt;&gt;"",(BQ5)*IF($AF$7&lt;&gt;"",$AF$7,1),"")</f>
        <v/>
      </c>
      <c r="BD5" s="10" t="str">
        <f>IF($AG$5&lt;&gt;"",(BP5)*IF($AF$5&lt;&gt;"",$AF$5,1),"")</f>
        <v/>
      </c>
      <c r="BF5" s="26" t="str">
        <f>IF($AG$13&lt;&gt;"",(BP6)*IF($AF$13&lt;&gt;"",$AF$13,1),"")</f>
        <v/>
      </c>
      <c r="BG5" s="26" t="str">
        <f>IF($AG$15&lt;&gt;"",(BQ6)*IF($AF$15&lt;&gt;"",$AF$15,1),"")</f>
        <v/>
      </c>
      <c r="BH5" s="27" t="str">
        <f>IF($AG$17&lt;&gt;"",(BR6)*IF($AF$17&lt;&gt;"",$AF$17,1),"")</f>
        <v/>
      </c>
      <c r="BI5" s="7">
        <f>IF(AF5="",1,AF5)</f>
        <v>1</v>
      </c>
      <c r="BJ5">
        <f>IF(AJ5&lt;&gt;"",AJ5,1)</f>
        <v>1</v>
      </c>
      <c r="BK5" s="10" t="str">
        <f>IF(AI5="","",IF(AI5="Ikke i databog",AG5,LEFT(AI5,LEN(AG5))))</f>
        <v/>
      </c>
      <c r="BL5" s="6" t="str">
        <f>IF(AG5="","",IF(LOWER(AH5)="g","p("&amp;BK5&amp;")",IF(LOWER(AH5)="aq","["&amp;BK5&amp;"]","")))</f>
        <v/>
      </c>
      <c r="BM5" s="10" t="str">
        <f t="shared" ref="BM5:BM11" si="3">SUBSTITUTE(SUBSTITUTE(SUBSTITUTE(SUBSTITUTE(SUBSTITUTE(SUBSTITUTE(SUBSTITUTE(IF(AND(AF5&lt;&gt;"",AF5&lt;&gt;1),"^"&amp;AF5,""),$BT$3,$BU$3),$BT$4,$BU$4),$BT$5,$BU$5),$BT$6,$BU$6),$BT$7,$BU$7),$BT$8,$BU$8),$BT$9,$BU$9)</f>
        <v/>
      </c>
      <c r="BN5" s="9" t="str">
        <f>IF(AK5="","",(IF(AF5&gt;1,"("&amp;BJ5&amp;" "&amp;AK5&amp;")",BJ5&amp;" "&amp;AK5)&amp;BM5))</f>
        <v/>
      </c>
      <c r="BO5" t="s">
        <v>43</v>
      </c>
      <c r="BP5" s="28" t="str">
        <f>IF(AI26&lt;&gt;"",VALUE(AI26),AI27)</f>
        <v/>
      </c>
      <c r="BQ5" s="28" t="str">
        <f>IF(AH26&lt;&gt;"",VALUE(AH26),AH27)</f>
        <v/>
      </c>
      <c r="BR5" s="28" t="str">
        <f>IF(AG26&lt;&gt;"",VALUE(AG26),AG27)</f>
        <v/>
      </c>
      <c r="BT5" s="10" t="s">
        <v>44</v>
      </c>
      <c r="BU5" s="10" t="s">
        <v>45</v>
      </c>
      <c r="BX5" s="10" t="str">
        <f t="shared" si="0"/>
        <v/>
      </c>
      <c r="BY5" s="10" t="str">
        <f t="shared" ref="BY5:BY17" si="4">IF(AH5="aq",BI5,"")</f>
        <v/>
      </c>
      <c r="CA5" t="b">
        <f>IF(AJ5="",TRUE,IF(ISNUMBER(AJ5),TRUE,FALSE))</f>
        <v>1</v>
      </c>
      <c r="CC5">
        <v>0</v>
      </c>
      <c r="CD5">
        <f>CC5+273</f>
        <v>273</v>
      </c>
      <c r="CE5">
        <f>((-1*$AU$6*1000+$AU$7*CD5)/(8.31446261815324*CD5))</f>
        <v>6.1245787545787547</v>
      </c>
      <c r="CF5">
        <f>EXP(CE5)</f>
        <v>456.9521837055434</v>
      </c>
      <c r="CG5">
        <f>(CF5/($CG$1^$CG$1*$CG$2^$CG$2))^(1/($CG$1+$CG$2))</f>
        <v>21.376439921220356</v>
      </c>
      <c r="CH5">
        <f>IFERROR(IF($CE$2,CG5*0.1*$CJ$1,""),CG5*0.1*$CJ$2)</f>
        <v>985.45388036825852</v>
      </c>
      <c r="CJ5" s="29"/>
    </row>
    <row r="6" spans="1:88" ht="15.75" thickBot="1">
      <c r="A6" s="7"/>
      <c r="C6" s="30"/>
      <c r="D6" s="31"/>
      <c r="E6" s="32"/>
      <c r="F6" s="30"/>
      <c r="G6" s="31"/>
      <c r="H6" s="32"/>
      <c r="I6" s="30"/>
      <c r="J6" s="31"/>
      <c r="K6" s="32"/>
      <c r="N6" s="30"/>
      <c r="O6" s="31"/>
      <c r="P6" s="32"/>
      <c r="Q6" s="30"/>
      <c r="R6" s="31"/>
      <c r="S6" s="32"/>
      <c r="T6" s="30"/>
      <c r="U6" s="31"/>
      <c r="V6" s="32"/>
      <c r="W6" s="9"/>
      <c r="AK6" s="17"/>
      <c r="AQ6" t="str">
        <f t="shared" si="1"/>
        <v/>
      </c>
      <c r="AR6" t="str">
        <f>IF(OR(AI6="ikke i databog",AI6=""),"",INDEX($BA$66:$BA$1601, MATCH(AI6, $AG$66:$AG$1601, 0)))</f>
        <v/>
      </c>
      <c r="AS6" s="33" t="str">
        <f t="shared" si="2"/>
        <v/>
      </c>
      <c r="AT6" s="7" t="s">
        <v>49</v>
      </c>
      <c r="AU6">
        <f>IF(C18&lt;&gt;"",C18,IF(E52&lt;&gt;"",E52,IF(M52&lt;&gt;"",M52*(-1)*8.31446261815324/1000,SUM(BF5:BH5)-SUM(BB5:BD5))))</f>
        <v>-19.871565657386242</v>
      </c>
      <c r="AV6" t="str">
        <f>IFERROR(IF(
    OR(ABS(AU6)&lt;0.001,ABS(AU6)&gt;MIN(10^($AU$3)-1,9999)),
    TEXT(AU6, "0," &amp; REPT("0", $AU$3-1) &amp; "E+00"),
    IF(AU6="","",
IF(INT(LOG10(ABS(AU6)))+1=$AU$3,TEXT(AU6,"0"),
TEXT(IF(AU6&lt;0,"-","")&amp;LEFT(TEXT(ABS(AU6),"0,"&amp;REPT("0",$AU$3-1)&amp;"E+00"),$AU$3+1)*10^FLOOR(LOG10(TEXT(ABS(AU6),"0,"&amp;REPT("0",$AU$3-1)&amp;"E+00")),1),(""&amp;(IF(OR(AND(FLOOR(LOG10(TEXT(ABS(AU6),"0,"&amp;REPT("0",$AU$3-1)&amp;"E+00")),1)+1=$AU$3,RIGHT(LEFT(TEXT(ABS(AU6),"0,"&amp;REPT("0",$AU$3-1)&amp;"E+00"),$AU$3+1)*10^FLOOR(LOG10(TEXT(ABS(AU6),"0,"&amp;REPT("0",$AU$3-1)&amp;"E+00")),1),1)="0"),LOG10(TEXT(ABS(AU6),"0,"&amp;REPT("0",$AU$3-1)&amp;"E+00"))&lt;=$AU$3-1),"0,","#")&amp;REPT("0",IF($AU$3-1-(FLOOR(LOG10(TEXT(ABS(AU6),"0,"&amp;REPT("0",$AU$3-1)&amp;"E+00")),1))&gt;0,$AU$3-1-(FLOOR(LOG10(TEXT(ABS(AU6),"0,"&amp;REPT("0",$AU$3-1)&amp;"E+00")),1)),0))))))
)),"")</f>
        <v>-19,87</v>
      </c>
      <c r="AW6" s="18" t="str">
        <f>IF(AU6&lt;$AW$4,IFERROR(SUBSTITUTE(SUBSTITUTE(SUBSTITUTE(SUBSTITUTE(SUBSTITUTE(SUBSTITUTE(SUBSTITUTE(SUBSTITUTE(SUBSTITUTE(SUBSTITUTE(SUBSTITUTE(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AV6,$BV$10,$BW$10),$BV$11,$BW$11),$BV$12,$BW$12),$BV$13,$BW$13),$BV$14,$BW$14),$BV$15,$BW$15),$BV$16,$BW$16),$BV$17,$BW$17),$BV$18,$BW$18),$BV$19,$BW$19),$BV$20,$BW$20),$BV$21,$BW$21),$BV$22,$BW$22),$BV$23,$BW$23),$BV$24,$BW$24),$BV$25,$BW$25),$BV$26,$BW$26),$BV$27,$BW$27),$BV$28,$BW$28),$BV$29,$BW$29),$BV$30,$BW$30),$BV$31,$BW$31),$BV$32,$BW$32),$BV$33,$BW$33),$BV$34,$BW$34),$BV$35,$BW$35),$BV$36,$BW$36),$BV$37,$BW$37),
$BV$38,$BW$38),$BV$39,$BW$39),$BV$40,$BW$40),$BV$41,$BW$41),$BV$42,$BW$42),$BV$43,$BW$43),$BV$44,$BW$44),$BV$45,$BW$45),$BV$46,$BW$46),$BV$47,$BW$47),$BV$48,$BW$48),$BV$49,$BW$49),AV6),AV6)</f>
        <v>-19,87</v>
      </c>
      <c r="AX6" s="210" t="b">
        <f>IF(OR(COUNTA(E6,H6,K6)=0,C18&lt;&gt;"",E52&lt;&gt;"",M52&lt;&gt;""),TRUE,IF(COUNTA(E6,H6,K6,P6,S6,V6)=14-COUNTIF(AG26:AM27,""),TRUE))</f>
        <v>1</v>
      </c>
      <c r="AZ6" s="34"/>
      <c r="BA6" t="s">
        <v>50</v>
      </c>
      <c r="BB6" t="str">
        <f>IF($AI9&lt;&gt;"",BA$6&amp;"(" &amp; IF($AI9&lt;&gt;"ikke i databog",LEFT($AI9,LEN($AI9)-4),$AG9)&amp;","&amp;$AH9&amp;")","")</f>
        <v/>
      </c>
      <c r="BC6" t="str">
        <f>IF($AI7&lt;&gt;"",BA$6&amp;"(" &amp; IF($AI7&lt;&gt;"ikke i databog",LEFT($AI7,LEN($AI7)-4),$AG7)&amp;","&amp;$AH7&amp;")","")</f>
        <v/>
      </c>
      <c r="BD6" t="str">
        <f>IF($AI5&lt;&gt;"",BA$6&amp;"(" &amp; IF($AI5&lt;&gt;"ikke i databog",LEFT($AI5,LEN($AI5)-4),$AG5)&amp;","&amp;$AH5&amp;")","")</f>
        <v/>
      </c>
      <c r="BF6" t="str">
        <f>IF($AI13&lt;&gt;"",BA$6&amp;"(" &amp; IF($AI13&lt;&gt;"ikke i databog",LEFT($AI13,LEN($AI13)-4),$AG13)&amp;","&amp;$AH13&amp;")","")</f>
        <v/>
      </c>
      <c r="BG6" t="str">
        <f>IF($AI15&lt;&gt;"",BA$6&amp;"(" &amp; IF($AI15&lt;&gt;"ikke i databog",LEFT($AI15,LEN($AI15)-4),$AG15)&amp;","&amp;$AH15&amp;")","")</f>
        <v/>
      </c>
      <c r="BH6" t="str">
        <f>IF($AI17&lt;&gt;"",BA$6&amp;"(" &amp; IF($AI17&lt;&gt;"ikke i databog",LEFT($AI17,LEN($AI17)-4),$AG17)&amp;","&amp;$AH17&amp;")","")</f>
        <v/>
      </c>
      <c r="BI6" s="7"/>
      <c r="BK6" s="10"/>
      <c r="BM6" s="10" t="str">
        <f t="shared" si="3"/>
        <v/>
      </c>
      <c r="BN6" s="9" t="str">
        <f>IF(AK6="","",(IF(AF6&gt;1,"("&amp;BJ6&amp;" "&amp;AK6&amp;")",BJ6&amp;" "&amp;AK6)&amp;BM6))</f>
        <v/>
      </c>
      <c r="BO6" t="s">
        <v>51</v>
      </c>
      <c r="BP6" s="28" t="str">
        <f>IF(AK26&lt;&gt;"",VALUE(AK26),AK27)</f>
        <v/>
      </c>
      <c r="BQ6" s="28" t="str">
        <f>IF(AL26&lt;&gt;"",VALUE(AL26),AL27)</f>
        <v/>
      </c>
      <c r="BR6" s="28" t="str">
        <f>IF(AM26&lt;&gt;"",VALUE(AM26),AM27)</f>
        <v/>
      </c>
      <c r="BT6" s="10" t="s">
        <v>52</v>
      </c>
      <c r="BU6" s="10" t="s">
        <v>53</v>
      </c>
      <c r="BX6" s="10" t="str">
        <f t="shared" si="0"/>
        <v/>
      </c>
      <c r="BY6" s="10" t="str">
        <f t="shared" si="4"/>
        <v/>
      </c>
      <c r="CC6">
        <v>10</v>
      </c>
      <c r="CD6">
        <f t="shared" ref="CD6:CD16" si="5">CC6+273</f>
        <v>283</v>
      </c>
      <c r="CE6">
        <f t="shared" ref="CE6:CE16" si="6">((-1*$AU$6*1000+$AU$7*CD6)/(8.31446261815324*CD6))</f>
        <v>5.8152296819787992</v>
      </c>
      <c r="CF6">
        <f t="shared" ref="CF6:CF16" si="7">EXP(CE6)</f>
        <v>335.36841773761552</v>
      </c>
      <c r="CG6">
        <f t="shared" ref="CG6:CG16" si="8">(CF6/($CG$1^$CG$1*$CG$2^$CG$2))^(1/($CG$1+$CG$2))</f>
        <v>18.313066857782601</v>
      </c>
      <c r="CH6">
        <f t="shared" ref="CH6:CH16" si="9">IFERROR(IF($CE$2,CG6*0.1*$CJ$1,""),CG6*0.1*$CJ$2)</f>
        <v>844.23238214377795</v>
      </c>
      <c r="CJ6" s="29"/>
    </row>
    <row r="7" spans="1:88">
      <c r="A7" s="7"/>
      <c r="B7" s="35" t="s">
        <v>54</v>
      </c>
      <c r="C7" s="36" t="str">
        <f>IF($AI$5="","",IF($AI$5="Ikke i databog","ikke i databog","FOUND"))</f>
        <v/>
      </c>
      <c r="D7" s="36"/>
      <c r="E7" s="37"/>
      <c r="F7" s="38" t="str">
        <f>IF(AI7="","",IF(AI7="Ikke i databog","ikke i databog","FOUND"))</f>
        <v/>
      </c>
      <c r="G7" s="36"/>
      <c r="H7" s="37"/>
      <c r="I7" s="38" t="str">
        <f>IF(AI9="","",IF(AI9="Ikke i databog","ikke i databog","FOUND"))</f>
        <v/>
      </c>
      <c r="J7" s="36"/>
      <c r="K7" s="37"/>
      <c r="M7" s="39"/>
      <c r="N7" s="38" t="str">
        <f>IF(AI13="","",IF(AI13="Ikke i databog","ikke i databog","FOUND"))</f>
        <v/>
      </c>
      <c r="O7" s="36"/>
      <c r="P7" s="37"/>
      <c r="Q7" s="38" t="str">
        <f>IF(AI15="","",IF(AI15="Ikke i databog","ikke i databog","FOUND"))</f>
        <v/>
      </c>
      <c r="R7" s="36"/>
      <c r="S7" s="37"/>
      <c r="T7" s="38" t="str">
        <f>IF(AI17="","",IF(AI17="Ikke i databog","ikke i databog","FOUND"))</f>
        <v/>
      </c>
      <c r="U7" s="36"/>
      <c r="V7" s="37"/>
      <c r="W7" s="9"/>
      <c r="AE7" s="10" t="s">
        <v>14</v>
      </c>
      <c r="AF7" s="22">
        <f>IF(F6="",1,F6)</f>
        <v>1</v>
      </c>
      <c r="AG7" s="22" t="str">
        <f>IF(G6="","",G6)</f>
        <v/>
      </c>
      <c r="AH7" s="22" t="str">
        <f>IF(H6="","",H6)</f>
        <v/>
      </c>
      <c r="AI7" s="23" t="str">
        <f>IF(OR(AG7="",AH7=""),"",IFERROR(AO7,IFERROR(AN7,"Ikke i databog")))</f>
        <v/>
      </c>
      <c r="AJ7" s="24" t="str">
        <f>IF(F8="","",F8)</f>
        <v/>
      </c>
      <c r="AK7" s="17" t="str">
        <f>IF(AJ7="","",IF(AH7="g","bar",IF(AH7="aq","M","")))</f>
        <v/>
      </c>
      <c r="AL7" t="b">
        <f>IF(OR(AH7="g",AH7="aq",AH7="s",AH7="l",AH7="",AH7="s2"),TRUE)</f>
        <v>1</v>
      </c>
      <c r="AM7" t="b">
        <f>IF(ISNUMBER(AF7),TRUE)</f>
        <v>1</v>
      </c>
      <c r="AN7" t="e" cm="1">
        <f t="array" ref="AN7">INDEX($AG$67:$AG$1595, MATCH(AG7&amp;"-"&amp;AH7, $AH$67:$AH$1595&amp;"-"&amp;$AS$67:$AS$1595, 0))</f>
        <v>#N/A</v>
      </c>
      <c r="AO7" t="e" cm="1">
        <f t="array" ref="AO7">INDEX($AG$67:$AG$1595, MATCH(AG7&amp;"-"&amp;AH7, $AI$67:$AI$1595&amp;"-"&amp;$AS$67:$AS$1595, 0))</f>
        <v>#N/A</v>
      </c>
      <c r="AP7" s="10" t="str">
        <f>IF(OR(AI7="ikke i databog",AI7=""),"",INDEX($AY$66:$AY$1601, MATCH(AI7, $AG$66:$AG$1601, 0)))</f>
        <v/>
      </c>
      <c r="AQ7" s="10" t="str">
        <f t="shared" si="1"/>
        <v/>
      </c>
      <c r="AR7" s="10" t="str">
        <f>IF(OR(AI7="ikke i databog",AI7=""),"",INDEX($BB$66:$BB$1601, MATCH(AI7, $AG$66:$AG$1601, 0)))</f>
        <v/>
      </c>
      <c r="AS7" s="207" t="str">
        <f t="shared" si="2"/>
        <v/>
      </c>
      <c r="AT7" s="7" t="s">
        <v>55</v>
      </c>
      <c r="AU7">
        <f>IF(C17&lt;&gt;"",C17,IF(C52&lt;&gt;"",(-1000)*C52,IF(O52&lt;&gt;"",O52*8.31446261815324,SUM(BF7:BH7)-SUM(BB7:BD7))))</f>
        <v>-21.86703668574302</v>
      </c>
      <c r="AV7" t="str">
        <f t="shared" ref="AV7:AV18" si="10">IFERROR(IF(
    OR(ABS(AU7)&lt;0.001,ABS(AU7)&gt;MIN(10^($AU$3)-1,9999)),
    TEXT(AU7, "0," &amp; REPT("0", $AU$3-1) &amp; "E+00"),
    IF(AU7="","",
IF(INT(LOG10(ABS(AU7)))+1=$AU$3,TEXT(AU7,"0"),
TEXT(IF(AU7&lt;0,"-","")&amp;LEFT(TEXT(ABS(AU7),"0,"&amp;REPT("0",$AU$3-1)&amp;"E+00"),$AU$3+1)*10^FLOOR(LOG10(TEXT(ABS(AU7),"0,"&amp;REPT("0",$AU$3-1)&amp;"E+00")),1),(""&amp;(IF(OR(AND(FLOOR(LOG10(TEXT(ABS(AU7),"0,"&amp;REPT("0",$AU$3-1)&amp;"E+00")),1)+1=$AU$3,RIGHT(LEFT(TEXT(ABS(AU7),"0,"&amp;REPT("0",$AU$3-1)&amp;"E+00"),$AU$3+1)*10^FLOOR(LOG10(TEXT(ABS(AU7),"0,"&amp;REPT("0",$AU$3-1)&amp;"E+00")),1),1)="0"),LOG10(TEXT(ABS(AU7),"0,"&amp;REPT("0",$AU$3-1)&amp;"E+00"))&lt;=$AU$3-1),"0,","#")&amp;REPT("0",IF($AU$3-1-(FLOOR(LOG10(TEXT(ABS(AU7),"0,"&amp;REPT("0",$AU$3-1)&amp;"E+00")),1))&gt;0,$AU$3-1-(FLOOR(LOG10(TEXT(ABS(AU7),"0,"&amp;REPT("0",$AU$3-1)&amp;"E+00")),1)),0))))))
)),"")</f>
        <v>-21,87</v>
      </c>
      <c r="AW7" s="18" t="str">
        <f t="shared" ref="AW7:AW18" si="11">IF(AU7&lt;$AW$4,IFERROR(SUBSTITUTE(SUBSTITUTE(SUBSTITUTE(SUBSTITUTE(SUBSTITUTE(SUBSTITUTE(SUBSTITUTE(SUBSTITUTE(SUBSTITUTE(SUBSTITUTE(SUBSTITUTE(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AV7,$BV$10,$BW$10),$BV$11,$BW$11),$BV$12,$BW$12),$BV$13,$BW$13),$BV$14,$BW$14),$BV$15,$BW$15),$BV$16,$BW$16),$BV$17,$BW$17),$BV$18,$BW$18),$BV$19,$BW$19),$BV$20,$BW$20),$BV$21,$BW$21),$BV$22,$BW$22),$BV$23,$BW$23),$BV$24,$BW$24),$BV$25,$BW$25),$BV$26,$BW$26),$BV$27,$BW$27),$BV$28,$BW$28),$BV$29,$BW$29),$BV$30,$BW$30),$BV$31,$BW$31),$BV$32,$BW$32),$BV$33,$BW$33),$BV$34,$BW$34),$BV$35,$BW$35),$BV$36,$BW$36),$BV$37,$BW$37),
$BV$38,$BW$38),$BV$39,$BW$39),$BV$40,$BW$40),$BV$41,$BW$41),$BV$42,$BW$42),$BV$43,$BW$43),$BV$44,$BW$44),$BV$45,$BW$45),$BV$46,$BW$46),$BV$47,$BW$47),$BV$48,$BW$48),$BV$49,$BW$49),AV7),AV7)</f>
        <v>-21,87</v>
      </c>
      <c r="AX7" s="210" t="b">
        <f>IF(OR(COUNTA(E6,H6,K6)=0,C17&lt;&gt;"",C52&lt;&gt;"",O52&lt;&gt;""),TRUE,IF(COUNTA(E6,H6,K6,P6,S6,V6)=14-COUNTIF(AG28:AM29,""),TRUE))</f>
        <v>1</v>
      </c>
      <c r="AZ7" s="34" t="str">
        <f>IF(AND(AF7&lt;&gt;1,AF7&lt;&gt;""),AF7&amp;" ∙ ","")</f>
        <v/>
      </c>
      <c r="BB7" s="10" t="str">
        <f>IF($AG$9&lt;&gt;"",(BR7)*IF($AF$9&lt;&gt;"",$AF$9,1),"")</f>
        <v/>
      </c>
      <c r="BC7" s="10" t="str">
        <f>IF($AG$7&lt;&gt;"",(BQ7)*IF($AF$7&lt;&gt;"",$AF$7,1),"")</f>
        <v/>
      </c>
      <c r="BD7" s="10" t="str">
        <f>IF($AG$5&lt;&gt;"",(BP7)*IF($AF$5&lt;&gt;"",$AF$5,1),"")</f>
        <v/>
      </c>
      <c r="BF7" s="26" t="str">
        <f>IF($AG$13&lt;&gt;"",(BP8)*IF($AF$13&lt;&gt;"",$AF$13,1),"")</f>
        <v/>
      </c>
      <c r="BG7" s="26" t="str">
        <f>IF($AG$15&lt;&gt;"",(BQ8)*IF($AF$15&lt;&gt;"",$AF$15,1),"")</f>
        <v/>
      </c>
      <c r="BH7" s="27" t="str">
        <f>IF($AG$17&lt;&gt;"",(BR8)*IF($AF$17&lt;&gt;"",$AF$17,1),"")</f>
        <v/>
      </c>
      <c r="BI7" s="7">
        <f>IF(AF7="",1,AF7)</f>
        <v>1</v>
      </c>
      <c r="BJ7">
        <f>IF(AJ7&lt;&gt;"",AJ7,1)</f>
        <v>1</v>
      </c>
      <c r="BK7" s="10" t="str">
        <f>IF(AI7="","",IF(AI7="Ikke i databog",AG7,LEFT(AI7,LEN(AG7))))</f>
        <v/>
      </c>
      <c r="BL7" s="6" t="str">
        <f>IF(AG7="","",IF(LOWER(AH7)="g","p("&amp;BK7&amp;")",IF(LOWER(AH7)="aq","["&amp;BK7&amp;"]","")))</f>
        <v/>
      </c>
      <c r="BM7" s="10" t="str">
        <f t="shared" si="3"/>
        <v/>
      </c>
      <c r="BN7" s="9" t="str">
        <f>IF(AK7="","",(IF(AF7&gt;1,"("&amp;BJ7&amp;" "&amp;AK7&amp;")",BJ7&amp;" "&amp;AK7)&amp;BM7))</f>
        <v/>
      </c>
      <c r="BO7" t="s">
        <v>56</v>
      </c>
      <c r="BP7" s="28" t="str">
        <f>IF(AI28&lt;&gt;"",VALUE(AI28),AI29)</f>
        <v/>
      </c>
      <c r="BQ7" s="28" t="str">
        <f>IF(AH28&lt;&gt;"",VALUE(AH28),AH29)</f>
        <v/>
      </c>
      <c r="BR7" s="28" t="str">
        <f>IF(AG28&lt;&gt;"",VALUE(AG28),AG29)</f>
        <v/>
      </c>
      <c r="BT7" s="10" t="s">
        <v>57</v>
      </c>
      <c r="BU7" s="10" t="s">
        <v>58</v>
      </c>
      <c r="BX7" s="10" t="str">
        <f t="shared" si="0"/>
        <v/>
      </c>
      <c r="BY7" s="10" t="str">
        <f t="shared" si="4"/>
        <v/>
      </c>
      <c r="CA7" t="b">
        <f>IF(AJ7="",TRUE,IF(ISNUMBER(AJ7),TRUE,FALSE))</f>
        <v>1</v>
      </c>
      <c r="CC7">
        <v>20</v>
      </c>
      <c r="CD7">
        <f t="shared" si="5"/>
        <v>293</v>
      </c>
      <c r="CE7">
        <f t="shared" si="6"/>
        <v>5.5269965870307178</v>
      </c>
      <c r="CF7">
        <f t="shared" si="7"/>
        <v>251.38775482409542</v>
      </c>
      <c r="CG7">
        <f t="shared" si="8"/>
        <v>15.855212228920035</v>
      </c>
      <c r="CH7">
        <f t="shared" si="9"/>
        <v>730.92528375321365</v>
      </c>
      <c r="CJ7" s="29"/>
    </row>
    <row r="8" spans="1:88">
      <c r="A8" s="7"/>
      <c r="B8" s="40" t="s">
        <v>59</v>
      </c>
      <c r="C8" s="314"/>
      <c r="D8" s="314"/>
      <c r="E8" s="273"/>
      <c r="F8" s="272"/>
      <c r="G8" s="314"/>
      <c r="H8" s="273"/>
      <c r="I8" s="272"/>
      <c r="J8" s="314"/>
      <c r="K8" s="273"/>
      <c r="M8" s="39"/>
      <c r="N8" s="272"/>
      <c r="O8" s="314"/>
      <c r="P8" s="273"/>
      <c r="Q8" s="272"/>
      <c r="R8" s="314"/>
      <c r="S8" s="273"/>
      <c r="T8" s="272"/>
      <c r="U8" s="314"/>
      <c r="V8" s="273"/>
      <c r="W8" s="9"/>
      <c r="AJ8" s="10"/>
      <c r="AK8" s="17"/>
      <c r="AQ8" t="str">
        <f t="shared" si="1"/>
        <v/>
      </c>
      <c r="AR8" t="str">
        <f>IF(OR(AI8="ikke i databog",AI8=""),"",INDEX($BA$66:$BA$1601, MATCH(AI8, $AG$66:$AG$1601, 0)))</f>
        <v/>
      </c>
      <c r="AS8" s="33" t="str">
        <f t="shared" si="2"/>
        <v/>
      </c>
      <c r="AT8" s="7" t="s">
        <v>60</v>
      </c>
      <c r="AU8">
        <f>SUM(BF9:BH9)-SUM(BB9:BD9)</f>
        <v>0</v>
      </c>
      <c r="AV8" t="str">
        <f t="shared" si="10"/>
        <v>0,000E+00</v>
      </c>
      <c r="AW8" s="18" t="str">
        <f t="shared" si="11"/>
        <v>0,000</v>
      </c>
      <c r="AX8" s="210" t="b">
        <f>IF(COUNTA(E6,H6,K6)=0,TRUE,IF(COUNTA(E6,H6,K6,P6,S6,V6)=14-COUNTIF(AG30:AM31,""),TRUE))</f>
        <v>1</v>
      </c>
      <c r="AZ8" s="34"/>
      <c r="BA8" t="s">
        <v>61</v>
      </c>
      <c r="BB8" t="str">
        <f>IF($AI9&lt;&gt;"",BA$8&amp;"(" &amp; IF($AI9&lt;&gt;"ikke i databog",LEFT($AI9,LEN($AI9)-4),$AG9)&amp;","&amp;$AH9&amp;")","")</f>
        <v/>
      </c>
      <c r="BC8" t="str">
        <f>IF($AI7&lt;&gt;"",BA$8&amp;"(" &amp; IF($AI7&lt;&gt;"ikke i databog",LEFT($AI7,LEN($AI7)-4),$AG7)&amp;","&amp;$AH7&amp;")","")</f>
        <v/>
      </c>
      <c r="BD8" t="str">
        <f>IF($AI5&lt;&gt;"",BA$8&amp;"(" &amp; IF($AI5&lt;&gt;"ikke i databog",LEFT($AI5,LEN($AI5)-4),$AG5)&amp;","&amp;$AH5&amp;")","")</f>
        <v/>
      </c>
      <c r="BE8" t="str">
        <f>IF($AI8&lt;&gt;"",BA$6&amp;"(" &amp; IF($AI8&lt;&gt;"ikke i databog",LEFT($AI8,LEN($AI8)-4),$AG8)&amp;","&amp;$AH8&amp;")","")</f>
        <v/>
      </c>
      <c r="BF8" t="str">
        <f>IF($AI13&lt;&gt;"",BA$8&amp;"(" &amp; IF($AI13&lt;&gt;"ikke i databog",LEFT($AI13,LEN($AI13)-4),$AG13)&amp;","&amp;$AH13&amp;")","")</f>
        <v/>
      </c>
      <c r="BG8" t="str">
        <f>IF($AI15&lt;&gt;"",BA$8&amp;"(" &amp; IF($AI15&lt;&gt;"ikke i databog",LEFT($AI15,LEN($AI15)-4),$AG15)&amp;","&amp;$AH15&amp;")","")</f>
        <v/>
      </c>
      <c r="BH8" t="str">
        <f>IF($AI17&lt;&gt;"",BA$8&amp;"(" &amp; IF($AI17&lt;&gt;"ikke i databog",LEFT($AI17,LEN($AI17)-4),$AG17)&amp;","&amp;$AH17&amp;")","")</f>
        <v/>
      </c>
      <c r="BI8" s="7"/>
      <c r="BK8" s="10"/>
      <c r="BM8" s="10" t="str">
        <f t="shared" si="3"/>
        <v/>
      </c>
      <c r="BN8" s="9" t="str">
        <f>IF(AK8="","",(IF(AF8&gt;1,"("&amp;BJ8&amp;" "&amp;AK8&amp;")",BJ8&amp;" "&amp;AK8)&amp;BM8))</f>
        <v/>
      </c>
      <c r="BO8" t="s">
        <v>62</v>
      </c>
      <c r="BP8" s="28" t="str">
        <f>IF(AK28&lt;&gt;"",VALUE(AK28),AK29)</f>
        <v/>
      </c>
      <c r="BQ8" s="28" t="str">
        <f>IF(AL28&lt;&gt;"",VALUE(AL28),AL29)</f>
        <v/>
      </c>
      <c r="BR8" s="28" t="str">
        <f>IF(AM28&lt;&gt;"",VALUE(AM28),AM29)</f>
        <v/>
      </c>
      <c r="BT8" s="10" t="s">
        <v>63</v>
      </c>
      <c r="BU8" s="10" t="s">
        <v>64</v>
      </c>
      <c r="BX8" s="10" t="str">
        <f t="shared" si="0"/>
        <v/>
      </c>
      <c r="BY8" s="10" t="str">
        <f t="shared" si="4"/>
        <v/>
      </c>
      <c r="CC8">
        <v>30</v>
      </c>
      <c r="CD8">
        <f t="shared" si="5"/>
        <v>303</v>
      </c>
      <c r="CE8">
        <f t="shared" si="6"/>
        <v>5.2577887788778881</v>
      </c>
      <c r="CF8">
        <f t="shared" si="7"/>
        <v>192.05634238043643</v>
      </c>
      <c r="CG8">
        <f t="shared" si="8"/>
        <v>13.858439391953064</v>
      </c>
      <c r="CH8">
        <f t="shared" si="9"/>
        <v>638.87405596903636</v>
      </c>
      <c r="CJ8" s="29"/>
    </row>
    <row r="9" spans="1:88">
      <c r="A9" s="7"/>
      <c r="B9" s="35" t="str">
        <f>IF(OR(C7="Ikke i databog",F7="Ikke i databog",I7="Ikke i databog",N7="Ikke i databog",Q7="Ikke i databog",T7="Ikke i databog"),"H°-indtast","")</f>
        <v/>
      </c>
      <c r="C9" s="312"/>
      <c r="D9" s="312"/>
      <c r="E9" s="313"/>
      <c r="F9" s="311"/>
      <c r="G9" s="312"/>
      <c r="H9" s="313"/>
      <c r="I9" s="311"/>
      <c r="J9" s="312"/>
      <c r="K9" s="313"/>
      <c r="M9" s="39"/>
      <c r="N9" s="311"/>
      <c r="O9" s="312"/>
      <c r="P9" s="313"/>
      <c r="Q9" s="311"/>
      <c r="R9" s="312"/>
      <c r="S9" s="313"/>
      <c r="T9" s="311"/>
      <c r="U9" s="312"/>
      <c r="V9" s="313"/>
      <c r="W9" s="9"/>
      <c r="AE9" s="10" t="s">
        <v>15</v>
      </c>
      <c r="AF9" s="22">
        <f>IF(I6="",1,I6)</f>
        <v>1</v>
      </c>
      <c r="AG9" s="22" t="str">
        <f>IF(J6="","",J6)</f>
        <v/>
      </c>
      <c r="AH9" s="22" t="str">
        <f>IF(K6="","",K6)</f>
        <v/>
      </c>
      <c r="AI9" s="23" t="str">
        <f>IF(OR(AG9="",AH9=""),"",IFERROR(AO9,IFERROR(AN9,"Ikke i databog")))</f>
        <v/>
      </c>
      <c r="AJ9" s="24" t="str">
        <f>IF(I8="","",I8)</f>
        <v/>
      </c>
      <c r="AK9" s="17" t="str">
        <f>IF(AJ9="","",IF(AH9="g","bar",IF(AH9="aq","M","")))</f>
        <v/>
      </c>
      <c r="AL9" t="b">
        <f>IF(OR(AH9="g",AH9="aq",AH9="s",AH9="l",AH9="",AH9="s2"),TRUE)</f>
        <v>1</v>
      </c>
      <c r="AM9" t="b">
        <f>IF(ISNUMBER(AF9),TRUE)</f>
        <v>1</v>
      </c>
      <c r="AN9" t="e" cm="1">
        <f t="array" ref="AN9">INDEX($AG$67:$AG$1595, MATCH(AG9&amp;"-"&amp;AH9, $AH$67:$AH$1595&amp;"-"&amp;$AS$67:$AS$1595, 0))</f>
        <v>#N/A</v>
      </c>
      <c r="AO9" t="e" cm="1">
        <f t="array" ref="AO9">INDEX($AG$67:$AG$1595, MATCH(AG9&amp;"-"&amp;AH9, $AI$67:$AI$1595&amp;"-"&amp;$AS$67:$AS$1595, 0))</f>
        <v>#N/A</v>
      </c>
      <c r="AP9" s="10" t="str">
        <f>IF(OR(AI9="ikke i databog",AI9=""),"",INDEX($AY$66:$AY$1601, MATCH(AI9, $AG$66:$AG$1601, 0)))</f>
        <v/>
      </c>
      <c r="AQ9" s="10" t="str">
        <f t="shared" si="1"/>
        <v/>
      </c>
      <c r="AR9" s="10" t="str">
        <f>IF(OR(AI9="ikke i databog",AI9=""),"",INDEX($BB$66:$BB$1601, MATCH(AI9, $AG$66:$AG$1601, 0)))</f>
        <v/>
      </c>
      <c r="AS9" s="207" t="str">
        <f t="shared" si="2"/>
        <v/>
      </c>
      <c r="AT9" s="7" t="s">
        <v>65</v>
      </c>
      <c r="AU9">
        <f>IFERROR(EXP((-AU8*1000)/(8.31446261815324*298)),"K &gt; 10³⁰⁰ eller K &lt; 10⁻³⁰⁰")</f>
        <v>1</v>
      </c>
      <c r="AV9" t="str">
        <f t="shared" si="10"/>
        <v>1,000</v>
      </c>
      <c r="AW9" s="18" t="str">
        <f t="shared" si="11"/>
        <v>1,000</v>
      </c>
      <c r="AX9" s="210"/>
      <c r="AZ9" s="34" t="str">
        <f>IF(AND(AF9&lt;&gt;1,AF9&lt;&gt;""),AF9&amp;" ∙ ","")</f>
        <v/>
      </c>
      <c r="BB9" s="10" t="str">
        <f>IF($AG$9&lt;&gt;"",(BR9)*IF($AF$9&lt;&gt;"",$AF$9,1),"")</f>
        <v/>
      </c>
      <c r="BC9" s="10" t="str">
        <f>IF($AG$7&lt;&gt;"",(BQ9)*IF($AF$7&lt;&gt;"",$AF$7,1),"")</f>
        <v/>
      </c>
      <c r="BD9" s="10" t="str">
        <f>IF($AG$5&lt;&gt;"",(BP9)*IF($AF$5&lt;&gt;"",$AF$5,1),"")</f>
        <v/>
      </c>
      <c r="BF9" s="26" t="str">
        <f>IF($AG$13&lt;&gt;"",(BP10)*IF($AF$13&lt;&gt;"",$AF$13,1),"")</f>
        <v/>
      </c>
      <c r="BG9" s="26" t="str">
        <f>IF($AG$15&lt;&gt;"",(BQ10)*IF($AF$15&lt;&gt;"",$AF$15,1),"")</f>
        <v/>
      </c>
      <c r="BH9" s="27" t="str">
        <f>IF($AG$17&lt;&gt;"",(BR10)*IF($AF$17&lt;&gt;"",$AF$17,1),"")</f>
        <v/>
      </c>
      <c r="BI9" s="7">
        <f>IF(AF9="",1,AF9)</f>
        <v>1</v>
      </c>
      <c r="BJ9">
        <f>IF(AJ9&lt;&gt;"",AJ9,1)</f>
        <v>1</v>
      </c>
      <c r="BK9" s="10" t="str">
        <f>IF(AI9="","",IF(AI9="Ikke i databog",AG9,LEFT(AI9,LEN(AG9))))</f>
        <v/>
      </c>
      <c r="BL9" s="6" t="str">
        <f>IF(AG9="","",IF(LOWER(AH9)="g","p("&amp;BK9&amp;")",IF(LOWER(AH9)="aq","["&amp;BK9&amp;"]","")))</f>
        <v/>
      </c>
      <c r="BM9" s="10" t="str">
        <f t="shared" si="3"/>
        <v/>
      </c>
      <c r="BN9" s="9" t="str">
        <f>IF(AK9="","",(IF(AF9&gt;1,"("&amp;BJ9&amp;" "&amp;AK9&amp;")",BJ9&amp;" "&amp;AK9)&amp;BM9))</f>
        <v/>
      </c>
      <c r="BO9" t="s">
        <v>66</v>
      </c>
      <c r="BP9" s="28" t="str">
        <f>IF(AI30&lt;&gt;"",VALUE(AI30),AI31)</f>
        <v/>
      </c>
      <c r="BQ9" s="28" t="str">
        <f>IF(AH30&lt;&gt;"",VALUE(AH30),AH31)</f>
        <v/>
      </c>
      <c r="BR9" s="28" t="str">
        <f>IF(AG30&lt;&gt;"",VALUE(AG30),AG31)</f>
        <v/>
      </c>
      <c r="BT9" s="10" t="s">
        <v>67</v>
      </c>
      <c r="BU9" s="10" t="s">
        <v>68</v>
      </c>
      <c r="BX9" s="10" t="str">
        <f t="shared" si="0"/>
        <v/>
      </c>
      <c r="BY9" s="10" t="str">
        <f t="shared" si="4"/>
        <v/>
      </c>
      <c r="CA9" t="b">
        <f>IF(AJ9="",TRUE,IF(ISNUMBER(AJ9),TRUE,FALSE))</f>
        <v>1</v>
      </c>
      <c r="CC9">
        <v>40</v>
      </c>
      <c r="CD9">
        <f t="shared" si="5"/>
        <v>313</v>
      </c>
      <c r="CE9">
        <f t="shared" si="6"/>
        <v>5.0057827476038339</v>
      </c>
      <c r="CF9">
        <f t="shared" si="7"/>
        <v>149.27388121356043</v>
      </c>
      <c r="CG9">
        <f t="shared" si="8"/>
        <v>12.217769076781588</v>
      </c>
      <c r="CH9">
        <f t="shared" si="9"/>
        <v>563.23915443963119</v>
      </c>
      <c r="CJ9" s="29"/>
    </row>
    <row r="10" spans="1:88">
      <c r="A10" s="7"/>
      <c r="B10" s="35" t="str">
        <f>IF(OR(C7="Ikke i databog",F7="Ikke i databog",I7="Ikke i databog",N7="Ikke i databog",Q7="Ikke i databog",T7="Ikke i databog"),"S°-indtast","")</f>
        <v/>
      </c>
      <c r="C10" s="308"/>
      <c r="D10" s="308"/>
      <c r="E10" s="309"/>
      <c r="F10" s="310"/>
      <c r="G10" s="308"/>
      <c r="H10" s="309"/>
      <c r="I10" s="310"/>
      <c r="J10" s="308"/>
      <c r="K10" s="309"/>
      <c r="M10" s="39"/>
      <c r="N10" s="310"/>
      <c r="O10" s="308"/>
      <c r="P10" s="309"/>
      <c r="Q10" s="310"/>
      <c r="R10" s="308"/>
      <c r="S10" s="309"/>
      <c r="T10" s="310"/>
      <c r="U10" s="308"/>
      <c r="V10" s="309"/>
      <c r="W10" s="9"/>
      <c r="AK10" s="17"/>
      <c r="AQ10" t="str">
        <f t="shared" si="1"/>
        <v/>
      </c>
      <c r="AR10" t="str">
        <f>IF(OR(AI10="ikke i databog",AI10=""),"",INDEX($BA$66:$BA$1601, MATCH(AI10, $AG$66:$AG$1601, 0)))</f>
        <v/>
      </c>
      <c r="AS10" s="33" t="str">
        <f t="shared" si="2"/>
        <v/>
      </c>
      <c r="AT10" s="7" t="str">
        <f>"K ("&amp;AV4&amp;" K)"</f>
        <v>K (673,15 K)</v>
      </c>
      <c r="AU10">
        <f>IF(C16&lt;&gt;"",C16,IFERROR(EXP((-AU11*1000)/(8.3144*AV4)),"K &gt; 10³⁰⁰ eller K &lt; 10⁻³⁰⁰"))</f>
        <v>2.5104916122389698</v>
      </c>
      <c r="AV10" t="str">
        <f t="shared" si="10"/>
        <v>2,510</v>
      </c>
      <c r="AW10" s="18" t="str">
        <f t="shared" si="11"/>
        <v>2,510</v>
      </c>
      <c r="AX10" s="9" t="b">
        <f>IF(OR(AND(AX7,AX6),AX8,C16&lt;&gt;"",C52&lt;&gt;"",M52&lt;&gt;""),TRUE,FALSE)</f>
        <v>1</v>
      </c>
      <c r="AZ10" s="34"/>
      <c r="BI10" s="7"/>
      <c r="BK10" s="10" t="str">
        <f>IF(AI10="","",IF(AI10="Ikke i databog",AG10,LEFT(AI10,LEN(AG10))))</f>
        <v/>
      </c>
      <c r="BM10" s="10" t="str">
        <f t="shared" si="3"/>
        <v/>
      </c>
      <c r="BN10" s="41"/>
      <c r="BO10" t="s">
        <v>69</v>
      </c>
      <c r="BP10" s="28" t="str">
        <f>IF(AK30&lt;&gt;"",VALUE(AK30),AK31)</f>
        <v/>
      </c>
      <c r="BQ10" s="28" t="str">
        <f>IF(AL30&lt;&gt;"",VALUE(AL30),AL31)</f>
        <v/>
      </c>
      <c r="BR10" s="28" t="str">
        <f>IF(AM30&lt;&gt;"",VALUE(AM30),AM31)</f>
        <v/>
      </c>
      <c r="BT10" s="10" t="s">
        <v>70</v>
      </c>
      <c r="BU10" s="10" t="s">
        <v>71</v>
      </c>
      <c r="BV10" s="175" t="s">
        <v>5694</v>
      </c>
      <c r="BW10" s="175" t="s">
        <v>5736</v>
      </c>
      <c r="BX10" s="10" t="str">
        <f t="shared" si="0"/>
        <v/>
      </c>
      <c r="BY10" s="10" t="str">
        <f t="shared" si="4"/>
        <v/>
      </c>
      <c r="CC10">
        <v>50</v>
      </c>
      <c r="CD10">
        <f t="shared" si="5"/>
        <v>323</v>
      </c>
      <c r="CE10">
        <f t="shared" si="6"/>
        <v>4.7693808049535606</v>
      </c>
      <c r="CF10">
        <f t="shared" si="7"/>
        <v>117.84624955077018</v>
      </c>
      <c r="CG10">
        <f t="shared" si="8"/>
        <v>10.855701246385246</v>
      </c>
      <c r="CH10">
        <f t="shared" si="9"/>
        <v>500.44782745835994</v>
      </c>
      <c r="CJ10" s="29"/>
    </row>
    <row r="11" spans="1:88">
      <c r="A11" s="7"/>
      <c r="B11" s="35" t="str">
        <f>IF(OR(C7="Ikke i databog",F7="Ikke i databog",I7="Ikke i databog",N7="Ikke i databog",Q7="Ikke i databog",T7="Ikke i databog"),"G°-indtast","")</f>
        <v/>
      </c>
      <c r="C11" s="302"/>
      <c r="D11" s="302"/>
      <c r="E11" s="303"/>
      <c r="F11" s="304"/>
      <c r="G11" s="302"/>
      <c r="H11" s="303"/>
      <c r="I11" s="304"/>
      <c r="J11" s="302"/>
      <c r="K11" s="303"/>
      <c r="M11" s="39"/>
      <c r="N11" s="304"/>
      <c r="O11" s="302"/>
      <c r="P11" s="303"/>
      <c r="Q11" s="304"/>
      <c r="R11" s="302"/>
      <c r="S11" s="303"/>
      <c r="T11" s="304"/>
      <c r="U11" s="302"/>
      <c r="V11" s="303"/>
      <c r="W11" s="9"/>
      <c r="AK11" s="17"/>
      <c r="AQ11" t="str">
        <f t="shared" si="1"/>
        <v/>
      </c>
      <c r="AR11" t="str">
        <f>IF(OR(AI11="ikke i databog",AI11=""),"",INDEX($BA$66:$BA$1601, MATCH(AI11, $AG$66:$AG$1601, 0)))</f>
        <v/>
      </c>
      <c r="AS11" s="33" t="str">
        <f t="shared" si="2"/>
        <v/>
      </c>
      <c r="AT11" s="7" t="str">
        <f>"ΔG° ("&amp;AV4&amp;" K)-beregnet"</f>
        <v>ΔG° (673,15 K)-beregnet</v>
      </c>
      <c r="AU11" s="211">
        <f>IF(AX10=TRUE,AU6-AU7/1000*AV4,"")</f>
        <v>-5.1517699123783274</v>
      </c>
      <c r="AV11" t="str">
        <f t="shared" si="10"/>
        <v>-5,152</v>
      </c>
      <c r="AW11" s="18" t="str">
        <f t="shared" si="11"/>
        <v>-5,152</v>
      </c>
      <c r="AX11" s="9"/>
      <c r="AZ11" s="34"/>
      <c r="BI11" s="7"/>
      <c r="BK11" s="10" t="str">
        <f>IF(AI11="","",IF(AI11="Ikke i databog",AG11,LEFT(AI11,LEN(AG11))))</f>
        <v/>
      </c>
      <c r="BL11" s="6" t="str">
        <f>IF(AG11="","",IF(LOWER(AH11)="g","p("&amp;BK11&amp;")",IF(LOWER(AH11)="aq","["&amp;BK11&amp;"]","")))</f>
        <v/>
      </c>
      <c r="BM11" s="10" t="str">
        <f t="shared" si="3"/>
        <v/>
      </c>
      <c r="BN11" s="9" t="s">
        <v>72</v>
      </c>
      <c r="BT11" s="18" t="s">
        <v>5783</v>
      </c>
      <c r="BU11" s="18" t="s">
        <v>73</v>
      </c>
      <c r="BV11" s="175" t="s">
        <v>5695</v>
      </c>
      <c r="BW11" s="175" t="s">
        <v>5737</v>
      </c>
      <c r="BX11" s="10" t="str">
        <f t="shared" si="0"/>
        <v/>
      </c>
      <c r="BY11" s="10" t="str">
        <f t="shared" si="4"/>
        <v/>
      </c>
      <c r="CC11">
        <v>60</v>
      </c>
      <c r="CD11">
        <f t="shared" si="5"/>
        <v>333</v>
      </c>
      <c r="CE11">
        <f t="shared" si="6"/>
        <v>4.5471771771771774</v>
      </c>
      <c r="CF11">
        <f t="shared" si="7"/>
        <v>94.365654469507334</v>
      </c>
      <c r="CG11">
        <f t="shared" si="8"/>
        <v>9.71419860150632</v>
      </c>
      <c r="CH11">
        <f t="shared" si="9"/>
        <v>447.8245555294414</v>
      </c>
      <c r="CJ11" s="29"/>
    </row>
    <row r="12" spans="1:88" ht="16.5" thickBot="1">
      <c r="A12" s="7"/>
      <c r="C12" s="42" t="str">
        <f>IF(BU26,"","Du skal indsætte dine værdier for p / [A] uden enhed")</f>
        <v/>
      </c>
      <c r="W12" s="9"/>
      <c r="AE12" s="10"/>
      <c r="AF12" s="10" t="s">
        <v>19</v>
      </c>
      <c r="AG12" s="15" t="s">
        <v>20</v>
      </c>
      <c r="AH12" s="10" t="s">
        <v>21</v>
      </c>
      <c r="AI12" s="43" t="s">
        <v>22</v>
      </c>
      <c r="AJ12" s="10"/>
      <c r="AK12" s="17"/>
      <c r="AS12" s="33"/>
      <c r="AT12" s="7" t="s">
        <v>74</v>
      </c>
      <c r="AU12">
        <f>IFERROR(AU6/(AU7/1000),"")</f>
        <v>908.74524714828885</v>
      </c>
      <c r="AV12" t="str">
        <f t="shared" si="10"/>
        <v>908,7</v>
      </c>
      <c r="AW12" s="18" t="str">
        <f t="shared" si="11"/>
        <v>908,7</v>
      </c>
      <c r="AX12" s="9" t="b">
        <f>IF(AND(AX6=TRUE,AX7=TRUE),TRUE,FALSE)</f>
        <v>1</v>
      </c>
      <c r="AZ12" s="34"/>
      <c r="BI12" s="7"/>
      <c r="BK12" s="10"/>
      <c r="BL12" s="6"/>
      <c r="BM12" s="10"/>
      <c r="BN12" s="9"/>
      <c r="BT12" s="18" t="s">
        <v>5784</v>
      </c>
      <c r="BU12" s="18" t="s">
        <v>75</v>
      </c>
      <c r="BV12" s="175" t="s">
        <v>5696</v>
      </c>
      <c r="BW12" s="175" t="s">
        <v>5738</v>
      </c>
      <c r="BX12" s="10" t="str">
        <f t="shared" si="0"/>
        <v/>
      </c>
      <c r="BY12" s="10" t="str">
        <f t="shared" si="4"/>
        <v/>
      </c>
      <c r="CC12">
        <v>70</v>
      </c>
      <c r="CD12">
        <f t="shared" si="5"/>
        <v>343</v>
      </c>
      <c r="CE12">
        <f t="shared" si="6"/>
        <v>4.3379300291545189</v>
      </c>
      <c r="CF12">
        <f t="shared" si="7"/>
        <v>76.548921192342547</v>
      </c>
      <c r="CG12">
        <f t="shared" si="8"/>
        <v>8.7492240337267937</v>
      </c>
      <c r="CH12">
        <f t="shared" si="9"/>
        <v>403.33922795480521</v>
      </c>
      <c r="CJ12" s="29"/>
    </row>
    <row r="13" spans="1:88" ht="36.75" thickBot="1">
      <c r="A13" s="7"/>
      <c r="B13" s="1" t="s">
        <v>76</v>
      </c>
      <c r="C13" s="5"/>
      <c r="E13" s="1"/>
      <c r="F13" s="44" t="str">
        <f>IF(AG25="","",AG25)</f>
        <v/>
      </c>
      <c r="G13" s="44"/>
      <c r="H13" s="44" t="str">
        <f>IF(AH25="","",AH25)</f>
        <v/>
      </c>
      <c r="I13" s="44"/>
      <c r="J13" s="44" t="str">
        <f>IF(AI25="","",AI25)</f>
        <v/>
      </c>
      <c r="K13" s="44"/>
      <c r="L13" s="45" t="s">
        <v>41</v>
      </c>
      <c r="M13" s="4"/>
      <c r="N13" s="44" t="str">
        <f>IF(AK25="","",AK25)</f>
        <v/>
      </c>
      <c r="O13" s="44"/>
      <c r="P13" s="44" t="str">
        <f>IF(AL25="","",AL25)</f>
        <v/>
      </c>
      <c r="Q13" s="44"/>
      <c r="R13" s="44" t="str">
        <f>IF(AM25="","",AM25)</f>
        <v/>
      </c>
      <c r="S13" s="46"/>
      <c r="W13" s="9"/>
      <c r="AE13" s="10" t="s">
        <v>16</v>
      </c>
      <c r="AF13" s="22">
        <f>IF(N6="",1,N6)</f>
        <v>1</v>
      </c>
      <c r="AG13" s="22" t="str">
        <f>IF(O6="","",O6)</f>
        <v/>
      </c>
      <c r="AH13" s="22" t="str">
        <f>IF(P6="","",P6)</f>
        <v/>
      </c>
      <c r="AI13" s="23" t="str">
        <f>IF(OR(AG13="",AH13=""),"",IFERROR(AO13,IFERROR(AN13,"Ikke i databog")))</f>
        <v/>
      </c>
      <c r="AJ13" s="24" t="str">
        <f>IF(N8="","",N8)</f>
        <v/>
      </c>
      <c r="AK13" s="17" t="str">
        <f>IF(AJ13="","",IF(AH13="g","bar",IF(AH13="aq","M","")))</f>
        <v/>
      </c>
      <c r="AL13" t="b">
        <f>IF(OR(AH13="g",AH13="aq",AH13="s",AH13="l",AH13="",AH13="s2"),TRUE)</f>
        <v>1</v>
      </c>
      <c r="AM13" t="b">
        <f>IF(ISNUMBER(AF13),TRUE)</f>
        <v>1</v>
      </c>
      <c r="AN13" t="e" cm="1">
        <f t="array" ref="AN13">INDEX($AG$67:$AG$1595, MATCH(AG13&amp;"-"&amp;AH13, $AH$67:$AH$1595&amp;"-"&amp;$AS$67:$AS$1595, 0))</f>
        <v>#N/A</v>
      </c>
      <c r="AO13" t="e" cm="1">
        <f t="array" ref="AO13">INDEX($AG$67:$AG$1595, MATCH(AG13&amp;"-"&amp;AH13, $AI$67:$AI$1595&amp;"-"&amp;$AS$67:$AS$1595, 0))</f>
        <v>#N/A</v>
      </c>
      <c r="AP13" s="10" t="str">
        <f>IF(OR(AI13="ikke i databog",AI13=""),"",INDEX($AY$66:$AY$1601, MATCH(AI13, $AG$66:$AG$1601, 0)))</f>
        <v/>
      </c>
      <c r="AQ13" s="10" t="str">
        <f>IF(OR(AI13="ikke i databog",AI13=""),"",INDEX($AZ$66:$AZ$1601, MATCH(AI13, $AG$66:$AG$1601, 0)))</f>
        <v/>
      </c>
      <c r="AR13" s="10" t="str">
        <f>IF(OR(AI13="ikke i databog",AI13=""),"",INDEX($BB$66:$BB$1601, MATCH(AI13, $AG$66:$AG$1601, 0)))</f>
        <v/>
      </c>
      <c r="AS13" s="207" t="str">
        <f>IF(OR(AI13="ikke i databog",AI13=""),"",INDEX($AX$66:$AX$1601,MATCH(AI13,$AG$66:$AG$1601,0)))</f>
        <v/>
      </c>
      <c r="AT13" s="7" t="s">
        <v>77</v>
      </c>
      <c r="AU13">
        <f>BJ13^BI13*BJ15^BI15*BJ17^BI17/(BJ5^BI5*BJ7^BI7*BJ9^BI9)</f>
        <v>1</v>
      </c>
      <c r="AV13" t="str">
        <f t="shared" si="10"/>
        <v>1,000</v>
      </c>
      <c r="AW13" s="18" t="str">
        <f t="shared" si="11"/>
        <v>1,000</v>
      </c>
      <c r="AX13" s="9" t="b">
        <f>IF(COUNTA(C8:K8,N8:V8)=COUNTIF(C6:V6,"g")+COUNTIF(C6:V6,"aq"),TRUE,FALSE)</f>
        <v>1</v>
      </c>
      <c r="AZ13" s="34" t="str">
        <f>IF(AND(AF13&lt;&gt;1,AF13&lt;&gt;""),AF13&amp;" ∙ ","")</f>
        <v/>
      </c>
      <c r="BI13" s="7">
        <f>IF(AF13="",1,AF13)</f>
        <v>1</v>
      </c>
      <c r="BJ13">
        <f>IF(AJ13&lt;&gt;"",AJ13,1)</f>
        <v>1</v>
      </c>
      <c r="BK13" s="10" t="str">
        <f>IF(AI13="","",IF(AI13="Ikke i databog",AG13,LEFT(AI13,LEN(AG13))))</f>
        <v/>
      </c>
      <c r="BL13" s="6" t="str">
        <f>IF(AG13="","",IF(LOWER(AH13)="g","p("&amp;BK13&amp;")",IF(LOWER(AH13)="aq","["&amp;BK13&amp;"]","")))</f>
        <v/>
      </c>
      <c r="BM13" s="10" t="str">
        <f>SUBSTITUTE(SUBSTITUTE(SUBSTITUTE(SUBSTITUTE(SUBSTITUTE(SUBSTITUTE(SUBSTITUTE(IF(AND(AF13&lt;&gt;"",AF13&lt;&gt;1),"^"&amp;AF13,""),$BT$3,$BU$3),$BT$4,$BU$4),$BT$5,$BU$5),$BT$6,$BU$6),$BT$7,$BU$7),$BT$8,$BU$8),$BT$9,$BU$9)</f>
        <v/>
      </c>
      <c r="BN13" s="9" t="str">
        <f>IF(AK13="","",(IF(AF13&gt;1,"("&amp;BJ13&amp;" "&amp;AK13&amp;")",BJ13&amp;" "&amp;AK13)&amp;BM13))</f>
        <v/>
      </c>
      <c r="BT13" s="18" t="s">
        <v>5785</v>
      </c>
      <c r="BU13" s="18" t="s">
        <v>78</v>
      </c>
      <c r="BV13" s="175" t="s">
        <v>5697</v>
      </c>
      <c r="BW13" s="175" t="s">
        <v>5739</v>
      </c>
      <c r="BX13" s="10" t="str">
        <f t="shared" si="0"/>
        <v/>
      </c>
      <c r="BY13" s="10" t="str">
        <f t="shared" si="4"/>
        <v/>
      </c>
      <c r="CA13" t="b">
        <f>IF(AJ13="",TRUE,IF(ISNUMBER(AJ13),TRUE,FALSE))</f>
        <v>1</v>
      </c>
      <c r="CC13">
        <v>80</v>
      </c>
      <c r="CD13">
        <f t="shared" si="5"/>
        <v>353</v>
      </c>
      <c r="CE13">
        <f t="shared" si="6"/>
        <v>4.1405382436260627</v>
      </c>
      <c r="CF13">
        <f t="shared" si="7"/>
        <v>62.836633766361253</v>
      </c>
      <c r="CG13">
        <f t="shared" si="8"/>
        <v>7.9269561476244617</v>
      </c>
      <c r="CH13">
        <f t="shared" si="9"/>
        <v>365.43267840548771</v>
      </c>
      <c r="CJ13" s="29"/>
    </row>
    <row r="14" spans="1:88" ht="15.75" thickBot="1">
      <c r="A14" s="7"/>
      <c r="B14" s="47" t="str">
        <f>IF(C15="","T (K)","")</f>
        <v/>
      </c>
      <c r="C14" s="48"/>
      <c r="E14" s="49" t="str">
        <f>IF(OR($F$13&lt;&gt;"",$H$13&lt;&gt;"",$J$13&lt;&gt;""),"H°","")</f>
        <v/>
      </c>
      <c r="F14" s="50" t="str">
        <f>IF(I7="FOUND",AG26&amp;" kJ/mol",IF(I9="","",AG27&amp;" kJ/mol"))</f>
        <v/>
      </c>
      <c r="G14" s="51"/>
      <c r="H14" s="50" t="str">
        <f>IF(F7="FOUND",AH26&amp;" kJ/mol",IF(F9="","",AH27&amp;" kJ/mol"))</f>
        <v/>
      </c>
      <c r="I14" s="51"/>
      <c r="J14" s="52" t="str">
        <f>IF(C$7="FOUND",AI26&amp;" kJ/mol",IF(C9="","",AI27&amp;" kJ/mol"))</f>
        <v/>
      </c>
      <c r="K14" s="51"/>
      <c r="L14" s="2"/>
      <c r="M14" s="2"/>
      <c r="N14" s="53" t="str">
        <f>IF(N7="FOUND",AK26&amp;" kJ/mol",IF(N9="","",AK27&amp;" kJ/mol"))</f>
        <v/>
      </c>
      <c r="O14" s="54"/>
      <c r="P14" s="52" t="str">
        <f>IF(Q7="FOUND",AL26&amp;" kJ/mol",IF(Q9="","",AL27&amp;" kJ/mol"))</f>
        <v/>
      </c>
      <c r="Q14" s="51"/>
      <c r="R14" s="50" t="str">
        <f>IF(T7="FOUND",AM26&amp;" kJ/mol",IF(T9="","",AM27&amp;" kJ/mol"))</f>
        <v/>
      </c>
      <c r="S14" s="55"/>
      <c r="W14" s="9"/>
      <c r="AK14" s="17"/>
      <c r="AQ14" t="str">
        <f>IF(OR(AI14="ikke i databog",AI14=""),"",INDEX($AZ$66:$AZ$1601, MATCH(AI14, $AG$66:$AG$1601, 0)))</f>
        <v/>
      </c>
      <c r="AR14" t="str">
        <f>IF(OR(AI14="ikke i databog",AI14=""),"",INDEX($BA$66:$BA$1601, MATCH(AI14, $AG$66:$AG$1601, 0)))</f>
        <v/>
      </c>
      <c r="AS14" s="33" t="str">
        <f>IF(OR(AI14="ikke i databog",AI14=""),"",INDEX($AX$66:$AX$1601,MATCH(AI14,$AG$66:$AG$1601,0)))</f>
        <v/>
      </c>
      <c r="AT14" s="7" t="s">
        <v>79</v>
      </c>
      <c r="AU14">
        <f>IF(AX14,IF(AU11="",AU8,AU11)+8.31446261815324/1000*IF(AU4="",298,AU4)*LN(AU13),"")</f>
        <v>-5.1517699123783274</v>
      </c>
      <c r="AV14" t="str">
        <f t="shared" si="10"/>
        <v>-5,152</v>
      </c>
      <c r="AW14" s="18" t="str">
        <f t="shared" si="11"/>
        <v>-5,152</v>
      </c>
      <c r="AX14" s="9" t="b">
        <f>IF(AND(AX10,AX13),TRUE)</f>
        <v>1</v>
      </c>
      <c r="AZ14" s="34"/>
      <c r="BI14" s="7"/>
      <c r="BK14" s="10"/>
      <c r="BL14" s="6"/>
      <c r="BM14" s="10" t="str">
        <f>SUBSTITUTE(SUBSTITUTE(SUBSTITUTE(SUBSTITUTE(SUBSTITUTE(SUBSTITUTE(SUBSTITUTE(IF(AND(AF14&lt;&gt;"",AF14&lt;&gt;1),"^"&amp;AF14,""),$BT$3,$BU$3),$BT$4,$BU$4),$BT$5,$BU$5),$BT$6,$BU$6),$BT$7,$BU$7),$BT$8,$BU$8),$BT$9,$BU$9)</f>
        <v/>
      </c>
      <c r="BN14" s="9" t="str">
        <f>IF(AK14="","",(IF(AF14&gt;1,"("&amp;BJ14&amp;" "&amp;AK14&amp;")",BJ14&amp;" "&amp;AK14)&amp;BM14))</f>
        <v/>
      </c>
      <c r="BT14" s="18" t="s">
        <v>5786</v>
      </c>
      <c r="BU14" s="18" t="s">
        <v>80</v>
      </c>
      <c r="BV14" s="175" t="s">
        <v>5698</v>
      </c>
      <c r="BW14" s="175" t="s">
        <v>5740</v>
      </c>
      <c r="BX14" s="10" t="str">
        <f t="shared" si="0"/>
        <v/>
      </c>
      <c r="BY14" s="10" t="str">
        <f t="shared" si="4"/>
        <v/>
      </c>
      <c r="CC14">
        <v>90</v>
      </c>
      <c r="CD14">
        <f t="shared" si="5"/>
        <v>363</v>
      </c>
      <c r="CE14">
        <f t="shared" si="6"/>
        <v>3.9540220385674938</v>
      </c>
      <c r="CF14">
        <f t="shared" si="7"/>
        <v>52.144673520880737</v>
      </c>
      <c r="CG14">
        <f t="shared" si="8"/>
        <v>7.221126887188781</v>
      </c>
      <c r="CH14">
        <f t="shared" si="9"/>
        <v>332.89394949940282</v>
      </c>
      <c r="CJ14" s="29"/>
    </row>
    <row r="15" spans="1:88">
      <c r="A15" s="7"/>
      <c r="B15" s="56" t="str">
        <f>IF(C14="","t (°C)","")</f>
        <v>t (°C)</v>
      </c>
      <c r="C15" s="48">
        <v>400</v>
      </c>
      <c r="E15" s="57" t="str">
        <f>IF(OR($F$13&lt;&gt;"",$H$13&lt;&gt;"",$J$13&lt;&gt;""),"S°","")</f>
        <v/>
      </c>
      <c r="F15" s="58" t="str">
        <f>IF(I$7="FOUND",AG28&amp;" J/(mol∙K)",IF(I10="","",AG29&amp;" J/(mol∙K)"))</f>
        <v/>
      </c>
      <c r="G15" s="59"/>
      <c r="H15" s="58" t="str">
        <f>IF(F$7="FOUND",AH28&amp;" J/(mol∙K)",IF(F10="","",AH29&amp;" J/(mol∙K)"))</f>
        <v/>
      </c>
      <c r="I15" s="59"/>
      <c r="J15" s="60" t="str">
        <f>IF(C$7="FOUND",AI28&amp;" J/(mol∙K)",IF(C10="","",AI29&amp;" J/(mol∙K)"))</f>
        <v/>
      </c>
      <c r="K15" s="59"/>
      <c r="N15" s="58" t="str">
        <f>IF(N$7="FOUND",AK28&amp;" J/(mol∙K)",IF(N10="","",AK29&amp;" J/(mol∙K)"))</f>
        <v/>
      </c>
      <c r="O15" s="59"/>
      <c r="P15" s="60" t="str">
        <f>IF(Q$7="FOUND",AL28&amp;" J/(mol∙K)",IF(Q10="","",AL29&amp;" J/(mol∙K)"))</f>
        <v/>
      </c>
      <c r="Q15" s="59"/>
      <c r="R15" s="58" t="str">
        <f>IF(T$7="FOUND",AM28&amp;" J/(mol∙K)",IF(T10="","",AM29&amp;" J/(mol∙K)"))</f>
        <v/>
      </c>
      <c r="S15" s="61"/>
      <c r="W15" s="9"/>
      <c r="AE15" s="10" t="s">
        <v>17</v>
      </c>
      <c r="AF15" s="22">
        <f>IF(Q6="",1,Q6)</f>
        <v>1</v>
      </c>
      <c r="AG15" s="22" t="str">
        <f>IF(R6="","",R6)</f>
        <v/>
      </c>
      <c r="AH15" s="22" t="str">
        <f>IF(S6="","",S6)</f>
        <v/>
      </c>
      <c r="AI15" s="23" t="str">
        <f>IF(OR(AG15="",AH15=""),"",IFERROR(AO15,IFERROR(AN15,"Ikke i databog")))</f>
        <v/>
      </c>
      <c r="AJ15" s="24" t="str">
        <f>IF(Q8="","",Q8)</f>
        <v/>
      </c>
      <c r="AK15" s="17" t="str">
        <f>IF(AJ15="","",IF(AH15="g","bar",IF(AH15="aq","M","")))</f>
        <v/>
      </c>
      <c r="AL15" t="b">
        <f>IF(OR(AH15="g",AH15="aq",AH15="s",AH15="l",AH15="",AH15="s2"),TRUE)</f>
        <v>1</v>
      </c>
      <c r="AM15" t="b">
        <f>IF(ISNUMBER(AF15),TRUE)</f>
        <v>1</v>
      </c>
      <c r="AN15" t="e" cm="1">
        <f t="array" ref="AN15">INDEX($AG$67:$AG$1595, MATCH(AG15&amp;"-"&amp;AH15, $AH$67:$AH$1595&amp;"-"&amp;$AS$67:$AS$1595, 0))</f>
        <v>#N/A</v>
      </c>
      <c r="AO15" t="e" cm="1">
        <f t="array" ref="AO15">INDEX($AG$67:$AG$1595, MATCH(AG15&amp;"-"&amp;AH15, $AI$67:$AI$1595&amp;"-"&amp;$AS$67:$AS$1595, 0))</f>
        <v>#N/A</v>
      </c>
      <c r="AP15" s="10" t="str">
        <f>IF(OR(AI15="ikke i databog",AI15=""),"",INDEX($AY$66:$AY$1601, MATCH(AI15, $AG$66:$AG$1601, 0)))</f>
        <v/>
      </c>
      <c r="AQ15" s="10" t="str">
        <f>IF(OR(AI15="ikke i databog",AI15=""),"",INDEX($AZ$66:$AZ$1601, MATCH(AI15, $AG$66:$AG$1601, 0)))</f>
        <v/>
      </c>
      <c r="AR15" s="10" t="str">
        <f>IF(OR(AI15="ikke i databog",AI15=""),"",INDEX($BB$66:$BB$1601, MATCH(AI15, $AG$66:$AG$1601, 0)))</f>
        <v/>
      </c>
      <c r="AS15" s="207" t="str">
        <f>IF(OR(AI15="ikke i databog",AI15=""),"",INDEX($AX$66:$AX$1601,MATCH(AI15,$AG$66:$AG$1601,0)))</f>
        <v/>
      </c>
      <c r="AT15" s="7" t="s">
        <v>5791</v>
      </c>
      <c r="AU15">
        <f>IF(AU9="","",LN(AU9))</f>
        <v>0</v>
      </c>
      <c r="AV15" t="str">
        <f t="shared" si="10"/>
        <v>0,000E+00</v>
      </c>
      <c r="AW15" s="18" t="str">
        <f t="shared" si="11"/>
        <v>0,000</v>
      </c>
      <c r="AX15" s="9"/>
      <c r="AZ15" s="34" t="str">
        <f>IF(AND(AF15&lt;&gt;1,AF15&lt;&gt;""),AF15&amp;" ∙ ","")</f>
        <v/>
      </c>
      <c r="BI15" s="7">
        <f>IF(AF15="",1,AF15)</f>
        <v>1</v>
      </c>
      <c r="BJ15">
        <f>IF(AJ15&lt;&gt;"",AJ15,1)</f>
        <v>1</v>
      </c>
      <c r="BK15" s="10" t="str">
        <f>IF(AI15="","",IF(AI15="Ikke i databog",AG15,LEFT(AI15,LEN(AG15))))</f>
        <v/>
      </c>
      <c r="BL15" s="6" t="str">
        <f>IF(AG15="","",IF(LOWER(AH15)="g","p("&amp;BK15&amp;")",IF(LOWER(AH15)="aq","["&amp;BK15&amp;"]","")))</f>
        <v/>
      </c>
      <c r="BM15" s="10" t="str">
        <f>SUBSTITUTE(SUBSTITUTE(SUBSTITUTE(SUBSTITUTE(SUBSTITUTE(SUBSTITUTE(SUBSTITUTE(IF(AND(AF15&lt;&gt;"",AF15&lt;&gt;1),"^"&amp;AF15,""),$BT$3,$BU$3),$BT$4,$BU$4),$BT$5,$BU$5),$BT$6,$BU$6),$BT$7,$BU$7),$BT$8,$BU$8),$BT$9,$BU$9)</f>
        <v/>
      </c>
      <c r="BN15" s="9" t="str">
        <f>IF(AK15="","",(IF(AF15&gt;1,"("&amp;BJ15&amp;" "&amp;AK15&amp;")",BJ15&amp;" "&amp;AK15)&amp;BM15))</f>
        <v/>
      </c>
      <c r="BO15" s="2" t="s">
        <v>81</v>
      </c>
      <c r="BP15" s="2" t="s">
        <v>28</v>
      </c>
      <c r="BQ15" s="2" t="s">
        <v>82</v>
      </c>
      <c r="BR15" s="5" t="s">
        <v>83</v>
      </c>
      <c r="BT15" s="18" t="s">
        <v>5787</v>
      </c>
      <c r="BU15" s="18" t="s">
        <v>5693</v>
      </c>
      <c r="BV15" s="175" t="s">
        <v>5699</v>
      </c>
      <c r="BW15" s="175" t="s">
        <v>5741</v>
      </c>
      <c r="BX15" s="10" t="str">
        <f t="shared" si="0"/>
        <v/>
      </c>
      <c r="BY15" s="10" t="str">
        <f t="shared" si="4"/>
        <v/>
      </c>
      <c r="CA15" t="b">
        <f>IF(AJ15="",TRUE,IF(ISNUMBER(AJ15),TRUE,FALSE))</f>
        <v>1</v>
      </c>
      <c r="CC15">
        <v>100</v>
      </c>
      <c r="CD15">
        <f t="shared" si="5"/>
        <v>373</v>
      </c>
      <c r="CE15">
        <f t="shared" si="6"/>
        <v>3.7775067024128686</v>
      </c>
      <c r="CF15">
        <f t="shared" si="7"/>
        <v>43.706931383250101</v>
      </c>
      <c r="CG15">
        <f t="shared" si="8"/>
        <v>6.6111217946162588</v>
      </c>
      <c r="CH15">
        <f t="shared" si="9"/>
        <v>304.77271473180957</v>
      </c>
      <c r="CJ15" s="29"/>
    </row>
    <row r="16" spans="1:88">
      <c r="A16" s="7"/>
      <c r="B16" s="56" t="s">
        <v>37</v>
      </c>
      <c r="C16" s="48"/>
      <c r="E16" s="57" t="str">
        <f>IF(OR($F$13&lt;&gt;"",$H$13&lt;&gt;"",$J$13&lt;&gt;""),"G°,298 K","")</f>
        <v/>
      </c>
      <c r="F16" s="58" t="str">
        <f>IF(I$7="FOUND",AG30&amp;" kJ/mol",IF(I11="","",AG31&amp;" kJ/mol"))</f>
        <v/>
      </c>
      <c r="G16" s="59"/>
      <c r="H16" s="58" t="str">
        <f>IF(F$7="FOUND",AH30&amp;" kJ/mol",IF(F11="","",AH31&amp;" kJ/mol"))</f>
        <v/>
      </c>
      <c r="I16" s="59"/>
      <c r="J16" s="60" t="str">
        <f>IF(C$7="FOUND",AI30&amp;" kJ/mol",IF(C11="","",AI31&amp;" kJ/mol"))</f>
        <v/>
      </c>
      <c r="K16" s="59"/>
      <c r="N16" s="62" t="str">
        <f>IF(N$7="FOUND",AK30&amp;" kJ/mol",IF(N11="","",AK31&amp;" kJ/mol"))</f>
        <v/>
      </c>
      <c r="O16" s="63"/>
      <c r="P16" s="64" t="str">
        <f>IF(Q$7="FOUND",AL30&amp;" kJ/mol",IF(Q11="","",AL31&amp;" kJ/mol"))</f>
        <v/>
      </c>
      <c r="Q16" s="63"/>
      <c r="R16" s="62" t="str">
        <f>IF(T$7="FOUND",AM30&amp;" kJ/mol",IF(T11="","",AM31&amp;" kJ/mol"))</f>
        <v/>
      </c>
      <c r="S16" s="65"/>
      <c r="W16" s="9"/>
      <c r="AK16" s="17"/>
      <c r="AQ16" t="str">
        <f>IF(OR(AI16="ikke i databog",AI16=""),"",INDEX($AZ$66:$AZ$1601, MATCH(AI16, $AG$66:$AG$1601, 0)))</f>
        <v/>
      </c>
      <c r="AR16" t="str">
        <f>IF(OR(AI16="ikke i databog",AI16=""),"",INDEX($BA$66:$BA$1601, MATCH(AI16, $AG$66:$AG$1601, 0)))</f>
        <v/>
      </c>
      <c r="AS16" s="33" t="str">
        <f>IF(OR(AI16="ikke i databog",AI16=""),"",INDEX($AX$66:$AX$1601,MATCH(AI16,$AG$66:$AG$1601,0)))</f>
        <v/>
      </c>
      <c r="AT16" s="7" t="s">
        <v>5792</v>
      </c>
      <c r="AU16">
        <f>IF(AU10="","",LN(AU10))</f>
        <v>0.92047859541513166</v>
      </c>
      <c r="AV16" t="str">
        <f t="shared" si="10"/>
        <v>0,9205</v>
      </c>
      <c r="AW16" s="18" t="str">
        <f t="shared" si="11"/>
        <v>0,9205</v>
      </c>
      <c r="AX16" s="9"/>
      <c r="AZ16" s="34"/>
      <c r="BI16" s="7"/>
      <c r="BK16" s="10"/>
      <c r="BL16" s="6"/>
      <c r="BM16" s="10" t="str">
        <f>SUBSTITUTE(SUBSTITUTE(SUBSTITUTE(SUBSTITUTE(SUBSTITUTE(SUBSTITUTE(SUBSTITUTE(IF(AND(AF16&lt;&gt;"",AF16&lt;&gt;1),"^"&amp;AF16,""),$BT$3,$BU$3),$BT$4,$BU$4),$BT$5,$BU$5),$BT$6,$BU$6),$BT$7,$BU$7),$BT$8,$BU$8),$BT$9,$BU$9)</f>
        <v/>
      </c>
      <c r="BN16" s="9" t="str">
        <f>IF(AK16="","",(IF(AF16&gt;1,"("&amp;BJ16&amp;" "&amp;AK16&amp;")",BJ16&amp;" "&amp;AK16)&amp;BM16))</f>
        <v/>
      </c>
      <c r="BO16">
        <v>200</v>
      </c>
      <c r="BP16">
        <f>$AU$6-$AU$7/1000*BO16</f>
        <v>-15.498158320237637</v>
      </c>
      <c r="BQ16">
        <f>1/BO16</f>
        <v>5.0000000000000001E-3</v>
      </c>
      <c r="BR16" s="9">
        <f>IFERROR((-BP16*1000)/(8.3144*BO16),"")</f>
        <v>9.3200701916179387</v>
      </c>
      <c r="BT16" s="18" t="s">
        <v>5788</v>
      </c>
      <c r="BU16" s="18" t="s">
        <v>5692</v>
      </c>
      <c r="BV16" s="175" t="s">
        <v>5700</v>
      </c>
      <c r="BW16" s="175" t="s">
        <v>5742</v>
      </c>
      <c r="BX16" s="10" t="str">
        <f t="shared" si="0"/>
        <v/>
      </c>
      <c r="BY16" s="10" t="str">
        <f t="shared" si="4"/>
        <v/>
      </c>
      <c r="CC16">
        <v>110</v>
      </c>
      <c r="CD16">
        <f t="shared" si="5"/>
        <v>383</v>
      </c>
      <c r="CE16">
        <f t="shared" si="6"/>
        <v>3.6102088772845957</v>
      </c>
      <c r="CF16">
        <f t="shared" si="7"/>
        <v>36.973774990022108</v>
      </c>
      <c r="CG16">
        <f t="shared" si="8"/>
        <v>6.0806064656432177</v>
      </c>
      <c r="CH16">
        <f t="shared" si="9"/>
        <v>280.31595806615235</v>
      </c>
      <c r="CJ16" s="29"/>
    </row>
    <row r="17" spans="1:79" ht="15.75" thickBot="1">
      <c r="A17" s="7"/>
      <c r="B17" s="66" t="s">
        <v>84</v>
      </c>
      <c r="C17" s="48"/>
      <c r="E17" s="67" t="s">
        <v>85</v>
      </c>
      <c r="F17" s="305" t="str">
        <f>AJ9&amp;" "&amp;AK9</f>
        <v xml:space="preserve"> </v>
      </c>
      <c r="G17" s="306"/>
      <c r="H17" s="305" t="str">
        <f>AJ7&amp;" "&amp;AK7</f>
        <v xml:space="preserve"> </v>
      </c>
      <c r="I17" s="306"/>
      <c r="J17" s="307" t="str">
        <f>AJ5&amp;" "&amp;AK5</f>
        <v xml:space="preserve"> </v>
      </c>
      <c r="K17" s="306"/>
      <c r="L17" s="68"/>
      <c r="M17" s="68"/>
      <c r="N17" s="300" t="str">
        <f>AJ13&amp;" "&amp;AK13</f>
        <v xml:space="preserve"> </v>
      </c>
      <c r="O17" s="300"/>
      <c r="P17" s="300" t="str">
        <f>AJ15&amp;" "&amp;AK15</f>
        <v xml:space="preserve"> </v>
      </c>
      <c r="Q17" s="300"/>
      <c r="R17" s="300" t="str">
        <f>AJ17&amp;" "&amp;AK17</f>
        <v xml:space="preserve"> </v>
      </c>
      <c r="S17" s="301"/>
      <c r="W17" s="9"/>
      <c r="AE17" s="10" t="s">
        <v>18</v>
      </c>
      <c r="AF17" s="22">
        <f>IF(T6="",1,T6)</f>
        <v>1</v>
      </c>
      <c r="AG17" s="22" t="str">
        <f>IF(U6="","",U6)</f>
        <v/>
      </c>
      <c r="AH17" s="22" t="str">
        <f>IF(V6="","",V6)</f>
        <v/>
      </c>
      <c r="AI17" s="23" t="str">
        <f>IF(OR(AG17="",AH17=""),"",IFERROR(AO17,IFERROR(AN17,"Ikke i databog")))</f>
        <v/>
      </c>
      <c r="AJ17" s="24" t="str">
        <f>IF(T8="","",T8)</f>
        <v/>
      </c>
      <c r="AK17" s="17" t="str">
        <f>IF(AJ17="","",IF(AH17="g","bar",IF(AH17="aq","M","")))</f>
        <v/>
      </c>
      <c r="AL17" t="b">
        <f>IF(OR(AH17="g",AH17="aq",AH17="s",AH17="l",AH17="",AH17="s2"),TRUE)</f>
        <v>1</v>
      </c>
      <c r="AM17" t="b">
        <f>IF(ISNUMBER(AF17),TRUE)</f>
        <v>1</v>
      </c>
      <c r="AN17" t="e" cm="1">
        <f t="array" ref="AN17">INDEX($AG$67:$AG$1595, MATCH(AG17&amp;"-"&amp;AH17, $AH$67:$AH$1595&amp;"-"&amp;$AS$67:$AS$1595, 0))</f>
        <v>#N/A</v>
      </c>
      <c r="AO17" t="e" cm="1">
        <f t="array" ref="AO17">INDEX($AG$67:$AG$1595, MATCH(AG17&amp;"-"&amp;AH17, $AI$67:$AI$1595&amp;"-"&amp;$AS$67:$AS$1595, 0))</f>
        <v>#N/A</v>
      </c>
      <c r="AP17" s="10" t="str">
        <f>IF(OR(AI17="ikke i databog",AI17=""),"",INDEX($AY$66:$AY$1601, MATCH(AI17, $AG$66:$AG$1601, 0)))</f>
        <v/>
      </c>
      <c r="AQ17" s="10" t="str">
        <f>IF(OR(AI17="ikke i databog",AI17=""),"",INDEX($AZ$66:$AZ$1601, MATCH(AI17, $AG$66:$AG$1601, 0)))</f>
        <v/>
      </c>
      <c r="AR17" s="10" t="str">
        <f>IF(OR(AI17="ikke i databog",AI17=""),"",INDEX($BB$66:$BB$1601, MATCH(AI17, $AG$66:$AG$1601, 0)))</f>
        <v/>
      </c>
      <c r="AS17" s="207" t="str">
        <f>IF(OR(AI17="ikke i databog",AI17=""),"",INDEX($AX$66:$AX$1601,MATCH(AI17,$AG$66:$AG$1601,0)))</f>
        <v/>
      </c>
      <c r="AT17" s="7" t="s">
        <v>5789</v>
      </c>
      <c r="AU17" s="110" cm="1">
        <f t="array" ref="AU17:AU18">TRANSPOSE(LINEST(BR16:BR18,BQ16:BQ18))</f>
        <v>2390.0179997818532</v>
      </c>
      <c r="AV17" t="str">
        <f t="shared" si="10"/>
        <v>2390</v>
      </c>
      <c r="AW17" s="18" t="str">
        <f t="shared" si="11"/>
        <v>2390</v>
      </c>
      <c r="AX17" s="9"/>
      <c r="AZ17" s="70" t="str">
        <f>IF(AND(AF17&lt;&gt;1,AF17&lt;&gt;""),AF17&amp;" ∙ ","")</f>
        <v/>
      </c>
      <c r="BI17" s="71">
        <f>IF(AF17="",1,AF17)</f>
        <v>1</v>
      </c>
      <c r="BJ17" s="68">
        <f>IF(AJ17&lt;&gt;"",AJ17,1)</f>
        <v>1</v>
      </c>
      <c r="BK17" s="72" t="str">
        <f>IF(AI17="","",IF(AI17="Ikke i databog",AG17,LEFT(AI17,LEN(AG17))))</f>
        <v/>
      </c>
      <c r="BL17" s="73" t="str">
        <f>IF(AG17="","",IF(LOWER(AH17)="g","p("&amp;BK17&amp;")",IF(LOWER(AH17)="aq","["&amp;BK17&amp;"]","")))</f>
        <v/>
      </c>
      <c r="BM17" s="10" t="str">
        <f>SUBSTITUTE(SUBSTITUTE(SUBSTITUTE(SUBSTITUTE(SUBSTITUTE(SUBSTITUTE(SUBSTITUTE(IF(AND(AF17&lt;&gt;"",AF17&lt;&gt;1),"^"&amp;AF17,""),$BT$3,$BU$3),$BT$4,$BU$4),$BT$5,$BU$5),$BT$6,$BU$6),$BT$7,$BU$7),$BT$8,$BU$8),$BT$9,$BU$9)</f>
        <v/>
      </c>
      <c r="BN17" s="74" t="str">
        <f>IF(AK17="","",(IF(AF17&gt;1,"("&amp;BJ17&amp;" "&amp;AK17&amp;")",BJ17&amp;" "&amp;AK17)&amp;BM17))</f>
        <v/>
      </c>
      <c r="BO17">
        <f>IF(AV12&gt;0,AV12+70+AV12*0.4,400)</f>
        <v>1342.18</v>
      </c>
      <c r="BP17">
        <f>$AU$6-$AU$7/1000*BO17</f>
        <v>9.4779336414843272</v>
      </c>
      <c r="BQ17">
        <f>1/BO17</f>
        <v>7.4505654979212916E-4</v>
      </c>
      <c r="BR17" s="9">
        <f>IFERROR((-BP17*1000)/(8.3144*BO17),"")</f>
        <v>-0.84932124243277496</v>
      </c>
      <c r="BT17" s="10" t="s">
        <v>87</v>
      </c>
      <c r="BU17" s="10" t="s">
        <v>88</v>
      </c>
      <c r="BV17" s="175" t="s">
        <v>5701</v>
      </c>
      <c r="BW17" s="175" t="s">
        <v>5743</v>
      </c>
      <c r="BX17" s="10" t="str">
        <f t="shared" si="0"/>
        <v/>
      </c>
      <c r="BY17" s="10" t="str">
        <f t="shared" si="4"/>
        <v/>
      </c>
      <c r="CA17" t="b">
        <f>IF(AJ17="",TRUE,IF(ISNUMBER(AJ17),TRUE,FALSE))</f>
        <v>1</v>
      </c>
    </row>
    <row r="18" spans="1:79" ht="15.75" thickBot="1">
      <c r="A18" s="7"/>
      <c r="B18" s="75" t="s">
        <v>89</v>
      </c>
      <c r="C18" s="32"/>
      <c r="W18" s="9"/>
      <c r="AF18" s="76"/>
      <c r="AG18" s="76"/>
      <c r="AH18" s="76"/>
      <c r="AI18" s="76"/>
      <c r="AT18" s="212" t="s">
        <v>5790</v>
      </c>
      <c r="AU18" s="195">
        <v>-2.6300198072913283</v>
      </c>
      <c r="AV18" s="195" t="str">
        <f t="shared" si="10"/>
        <v>-2,630</v>
      </c>
      <c r="AW18" s="206" t="str">
        <f t="shared" si="11"/>
        <v>-2,630</v>
      </c>
      <c r="AX18" s="213"/>
      <c r="BL18" s="6"/>
      <c r="BO18" s="68">
        <v>500</v>
      </c>
      <c r="BP18">
        <f>$AU$6-$AU$7/1000*BO18</f>
        <v>-8.9380473145147317</v>
      </c>
      <c r="BQ18" s="68">
        <f>1/BO18</f>
        <v>2E-3</v>
      </c>
      <c r="BR18" s="74">
        <f>IFERROR((-BP18*1000)/(8.3144*BO18),"")</f>
        <v>2.1500161922723784</v>
      </c>
      <c r="BT18" s="10" t="s">
        <v>90</v>
      </c>
      <c r="BU18" s="10" t="s">
        <v>91</v>
      </c>
      <c r="BV18" s="175" t="s">
        <v>5702</v>
      </c>
      <c r="BW18" s="175" t="s">
        <v>5744</v>
      </c>
      <c r="BX18" t="str">
        <f>IF(AK18="bar",BI18,"")</f>
        <v/>
      </c>
      <c r="BY18" t="str">
        <f>IF(AK18="M",BI18,"")</f>
        <v/>
      </c>
    </row>
    <row r="19" spans="1:79" ht="19.5" thickBot="1">
      <c r="A19" s="7"/>
      <c r="B19" s="75" t="s">
        <v>92</v>
      </c>
      <c r="C19" s="32"/>
      <c r="E19" s="77" t="str">
        <f>IF(AND(C14&lt;&gt;"",C15&lt;&gt;""),"Gider du ikke godt lade være med at indsætte 2 temperaturer. Stop med at komme provokern!","")</f>
        <v/>
      </c>
      <c r="W19" s="9"/>
      <c r="AE19" s="10" t="s">
        <v>93</v>
      </c>
      <c r="AF19" s="24" t="str">
        <f>IF(C14="","",C14)</f>
        <v/>
      </c>
      <c r="AT19" s="71" t="s">
        <v>86</v>
      </c>
      <c r="AU19" s="71" t="str">
        <f>IF(BX19=0,"",IF(BX19=1,"bar",IF(BX19&lt;0,"bar^("&amp;BX19&amp;")","bar^"&amp;BX19)))&amp;IF(AND(BX19&lt;&gt;0,BY19&lt;&gt;0),"∙","")&amp;IF(BY19=0,"",IF(BY19=1,"M",IF(BY19&lt;0,"M^("&amp;BY19&amp;")","M^"&amp;BY19)))</f>
        <v/>
      </c>
      <c r="AV19" s="68"/>
      <c r="AW19" s="68" t="str">
        <f>IFERROR(SUBSTITUTE(SUBSTITUTE(SUBSTITUTE(SUBSTITUTE(SUBSTITUTE(SUBSTITUTE(SUBSTITUTE(SUBSTITUTE(SUBSTITUTE(SUBSTITUTE(SUBSTITUTE(SUBSTITUTE(SUBSTITUTE(SUBSTITUTE(AU19,$BT$3,$BU$3),$BT$4,$BU$4),$BT$5,$BU$5),$BT$6,$BU$6),$BT$7,$BU$7),$BT$8,$BU$8),$BT$9,$BU$9),$BT$10,$BU$10),$BT$14,$BU$14),$BT$11,$BU$11),$BT$12,$BU$12),$BT$13,$BU$13),$BT$15,$BU$15),$BT$16,$BU$16),AU19)</f>
        <v/>
      </c>
      <c r="AX19" s="74"/>
      <c r="BQ19" t="s">
        <v>5643</v>
      </c>
      <c r="BR19" t="s">
        <v>5642</v>
      </c>
      <c r="BT19" s="10" t="s">
        <v>94</v>
      </c>
      <c r="BU19" s="10" t="s">
        <v>95</v>
      </c>
      <c r="BV19" s="175" t="s">
        <v>5703</v>
      </c>
      <c r="BW19" s="175" t="s">
        <v>5745</v>
      </c>
      <c r="BX19" s="69">
        <f>SUM(BX13:BX17)-SUM(BX3:BX10)</f>
        <v>0</v>
      </c>
      <c r="BY19" s="78">
        <f>SUM(BY13:BY17)-SUM(BY3:BY10)</f>
        <v>0</v>
      </c>
    </row>
    <row r="20" spans="1:79" ht="19.5" thickBot="1">
      <c r="A20" s="7"/>
      <c r="R20" s="282" t="s">
        <v>96</v>
      </c>
      <c r="S20" s="283"/>
      <c r="T20" s="283"/>
      <c r="U20" s="284"/>
      <c r="W20" s="9"/>
      <c r="AE20" s="10" t="s">
        <v>97</v>
      </c>
      <c r="AF20" s="24">
        <f>IF(C15="","",C15)</f>
        <v>400</v>
      </c>
      <c r="AG20" t="str">
        <f>IF(AND(AF20&lt;&gt;"",AF19&lt;&gt;""),"Ej gider du ikke godt lade være med at indsætte 2 temperaturerer. Bestem dig!","")</f>
        <v/>
      </c>
      <c r="AM20" t="s">
        <v>98</v>
      </c>
      <c r="BT20" s="10" t="s">
        <v>99</v>
      </c>
      <c r="BU20" s="10" t="s">
        <v>100</v>
      </c>
      <c r="BV20" s="175" t="s">
        <v>5704</v>
      </c>
      <c r="BW20" s="175" t="s">
        <v>5746</v>
      </c>
    </row>
    <row r="21" spans="1:79" ht="19.5" thickBot="1">
      <c r="A21" s="7"/>
      <c r="B21" s="79" t="s">
        <v>101</v>
      </c>
      <c r="C21" s="80"/>
      <c r="D21" s="79" t="s">
        <v>102</v>
      </c>
      <c r="E21" s="80"/>
      <c r="F21" s="81" t="s">
        <v>103</v>
      </c>
      <c r="G21" s="80"/>
      <c r="H21" s="80"/>
      <c r="I21" s="80"/>
      <c r="J21" s="80"/>
      <c r="K21" s="80"/>
      <c r="L21" s="80"/>
      <c r="M21" s="82"/>
      <c r="N21" s="80" t="s">
        <v>104</v>
      </c>
      <c r="O21" s="80"/>
      <c r="P21" s="78"/>
      <c r="R21" s="285" t="s">
        <v>105</v>
      </c>
      <c r="S21" s="286"/>
      <c r="T21" s="286"/>
      <c r="U21" s="287"/>
      <c r="W21" s="9"/>
      <c r="AM21" s="84" t="str">
        <f>AM32&amp;"
"&amp;AM33&amp;"
"&amp;AM34&amp;"
"&amp;AM35&amp;"
"&amp;AM36&amp;"
"&amp;AM37&amp;"
"&amp;AM38&amp;"
"&amp;AM39&amp;"
"&amp;AM40&amp;"
"&amp;AM41</f>
        <v xml:space="preserve">Vi betragter følgende reaktion:
 ⟶ 
Temperaturen er oplyst til at være (273,15 + 400) K = 673,15 K
Det fremgår fra Van't Hoffs ligning, at hældningskoefficienten i et Van't Hoff plot er et udtryk for entalpien:
a = -ΔH°/R ⇔
ΔH° = -a∙R
Ved indsættelse af værdier fås:
ΔH° = (-)2390 K∙ 8,314462 J⋅K⁻¹⋅mol⁻¹ ≈ -19,87 kJ/mol
Da ΔH° &lt; 0, vil reaktionen afgive varme til omgivelserne og være exoterm.
Det fremgår fra Van't Hoffs ligning, at skæringen med Y-aksen i et Van't Hoff plot er et udtryk for entropien:
b = ΔS°/R ⇔
ΔS° = b∙R
Ved indsættelse af værdier fås:
ΔS° = -2,63∙ 8,314462 J⋅K⁻¹⋅mol⁻¹ ≈ -21,87J/(mol∙K)
Da ΔS° &lt; 0, vil reaktionen skabe mere orden.
Beregning af ΔG°,298 K:
Opslag i databog:
ΔG° = ΣG°ₚ - ΣG°ᵣ
I vores tilfælde:
ΔG° =  - ()
Ved indsættelse af værdier fås:
ΔG° =  kJ/mol - ( kJ/mol) 
= 0,000 kJ/mol
Altså er ΔG° = 0,000 kJ/mol. Da ΔG°(298 K) &lt; 0, forløber reaktionen spontant ved 298 K og standardbetingelser.
Beregning af ΔG° ved 673,15 K
ΔG°(T) = ΔH° - T ∙ ΔS°
Ved indsættelse fås herved:
ΔG°(673,15 K) =  + 673,15 K ∙ -21,87 J/(mol∙K) = -5,152 kJ/mol
Altså er ΔG°(673,15 K) = -5,152 kJ/mol. Da ΔG°(673,15 K) &lt; 0, vil reaktionen forløbe spontant ved 673,15 K og standardbetingelser.
Beregning af K ved temperaturen 673,15 K:
ln(K) = -ΔG°/(R∙T)
ved indsættelse fås:
ln(K) = -(-5,152∙1000 J/mol)/(8,3144 J⋅K⁻¹⋅mol⁻¹ ∙ 673,15 K) = 0,9205
Herfra kan værdien for K isoleres:
K = e^(0,9205) = 2,510
Altså er værdien for ligevægtskonstanten lig med 2,510. Når K er større end 1, vil reaktionen forløbe imod højre ved standardbetingelser (hvis alle koncentrationer er 1 M og alle tryk er 1 bar) og T = 673,15 K.
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&gt;(-19,87∙1000 J∙mol⁻¹)/(-21,87 J∙mol⁻¹∙K⁻¹) = 908,7 K 
Vi ser af ΔS°&gt; 0. Reaktionen er entropidreven, så når T &gt; 908,7 K, forløber reaktionen mod højre ved std-tilstande.
Y = 
Værdien for reaktionsbrøken, Y, findes ved at indsætte værdierne. Herved fås:
Y =  = 1,000 
Altså er Y bestemt til at være 1,000 . 
</v>
      </c>
      <c r="AN21" s="84"/>
      <c r="AO21" s="84"/>
      <c r="AP21" s="84"/>
      <c r="AQ21" s="84"/>
      <c r="AT21" t="s">
        <v>106</v>
      </c>
      <c r="BQ21" t="str">
        <f>IF(AU17=0,0,TEXT(IF(AU17&lt;0,"-","")&amp;LEFT(TEXT(ABS(AU17),"0,"&amp;REPT("0",$AU$3-1)&amp;"E+00"),$AU$3+1)*10^FLOOR(LOG10(TEXT(ABS(AU17),"0,"&amp;REPT("0",$AU$3-1)&amp;"E+00")),1),(""&amp;(IF(OR(AND(FLOOR(LOG10(TEXT(ABS(AU17),"0,"&amp;REPT("0",$AU$3-1)&amp;"E+00")),1)+1=$AU$3,RIGHT(LEFT(TEXT(ABS(AU17),"0,"&amp;REPT("0",$AU$3-1)&amp;"E+00"),$AU$3+1)*10^FLOOR(LOG10(TEXT(ABS(AU17),"0,"&amp;REPT("0",$AU$3-1)&amp;"E+00")),1),1)="0"),LOG10(TEXT(ABS(AU17),"0,"&amp;REPT("0",$AU$3-1)&amp;"E+00"))&lt;=$AU$3-1),"0,","#")&amp;REPT("0",IF($AU$3-1-(FLOOR(LOG10(TEXT(ABS(AU17),"0,"&amp;REPT("0",$AU$3-1)&amp;"E+00")),1))&gt;0,$AU$3-1-(FLOOR(LOG10(TEXT(ABS(AU17),"0,"&amp;REPT("0",$AU$3-1)&amp;"E+00")),1)),0))))))</f>
        <v>2390,</v>
      </c>
      <c r="BR21">
        <f>IF(BR20=0,0,TEXT(IF(BR20&lt;0,"-","")&amp;LEFT(TEXT(ABS(BR20),"0,"&amp;REPT("0",$AU$3-1)&amp;"E+00"),$AU$3+1)*10^FLOOR(LOG10(TEXT(ABS(BR20),"0,"&amp;REPT("0",$AU$3-1)&amp;"E+00")),1),(""&amp;(IF(OR(AND(FLOOR(LOG10(TEXT(ABS(BR20),"0,"&amp;REPT("0",$AU$3-1)&amp;"E+00")),1)+1=$AU$3,RIGHT(LEFT(TEXT(ABS(BR20),"0,"&amp;REPT("0",$AU$3-1)&amp;"E+00"),$AU$3+1)*10^FLOOR(LOG10(TEXT(ABS(BR20),"0,"&amp;REPT("0",$AU$3-1)&amp;"E+00")),1),1)="0"),LOG10(TEXT(ABS(BR20),"0,"&amp;REPT("0",$AU$3-1)&amp;"E+00"))&lt;=$AU$3-1),"0,","#")&amp;REPT("0",IF($AU$3-1-(FLOOR(LOG10(TEXT(ABS(BR20),"0,"&amp;REPT("0",$AU$3-1)&amp;"E+00")),1))&gt;0,$AU$3-1-(FLOOR(LOG10(TEXT(ABS(BR20),"0,"&amp;REPT("0",$AU$3-1)&amp;"E+00")),1)),0))))))</f>
        <v>0</v>
      </c>
      <c r="BT21" s="10" t="s">
        <v>107</v>
      </c>
      <c r="BU21" s="10" t="s">
        <v>108</v>
      </c>
      <c r="BV21" s="175" t="s">
        <v>5705</v>
      </c>
      <c r="BW21" s="175" t="s">
        <v>5747</v>
      </c>
    </row>
    <row r="22" spans="1:79" ht="15.75" thickBot="1">
      <c r="A22" s="7"/>
      <c r="B22" s="85" t="s">
        <v>109</v>
      </c>
      <c r="C22" s="86"/>
      <c r="D22" s="87" t="str">
        <f>AG33</f>
        <v/>
      </c>
      <c r="E22" s="88"/>
      <c r="F22" s="89" t="str">
        <f>AH33</f>
        <v>Det fremgår fra Van't Hoffs ligning, at hældningskoefficienten i et Van't Hoff plot er et udtryk for entalpien:
a = -ΔH°/R ⇔
ΔH° = -a∙R
Ved indsættelse af værdier fås:
ΔH° = (-)2390 K∙ 8,314462 J⋅K⁻¹⋅mol⁻¹ ≈ -19,87 kJ/mol
Da ΔH° &lt; 0, vil reaktionen afgive varme til omgivelserne og være exoterm.</v>
      </c>
      <c r="G22" s="245"/>
      <c r="H22" s="245"/>
      <c r="I22" s="245"/>
      <c r="J22" s="245"/>
      <c r="K22" s="245"/>
      <c r="L22" s="245"/>
      <c r="M22" s="246"/>
      <c r="N22" s="288" t="str">
        <f>AM33</f>
        <v>Det fremgår fra Van't Hoffs ligning, at hældningskoefficienten i et Van't Hoff plot er et udtryk for entalpien:
a = -ΔH°/R ⇔
ΔH° = -a∙R
Ved indsættelse af værdier fås:
ΔH° = (-)2390 K∙ 8,314462 J⋅K⁻¹⋅mol⁻¹ ≈ -19,87 kJ/mol
Da ΔH° &lt; 0, vil reaktionen afgive varme til omgivelserne og være exoterm.</v>
      </c>
      <c r="O22" s="289"/>
      <c r="P22" s="290"/>
      <c r="Q22" t="s">
        <v>106</v>
      </c>
      <c r="R22" s="291" t="str">
        <f>IFERROR(AM21,"Dine indtastninger har medført en uventet fejl")</f>
        <v xml:space="preserve">Vi betragter følgende reaktion:
 ⟶ 
Temperaturen er oplyst til at være (273,15 + 400) K = 673,15 K
Det fremgår fra Van't Hoffs ligning, at hældningskoefficienten i et Van't Hoff plot er et udtryk for entalpien:
a = -ΔH°/R ⇔
ΔH° = -a∙R
Ved indsættelse af værdier fås:
ΔH° = (-)2390 K∙ 8,314462 J⋅K⁻¹⋅mol⁻¹ ≈ -19,87 kJ/mol
Da ΔH° &lt; 0, vil reaktionen afgive varme til omgivelserne og være exoterm.
Det fremgår fra Van't Hoffs ligning, at skæringen med Y-aksen i et Van't Hoff plot er et udtryk for entropien:
b = ΔS°/R ⇔
ΔS° = b∙R
Ved indsættelse af værdier fås:
ΔS° = -2,63∙ 8,314462 J⋅K⁻¹⋅mol⁻¹ ≈ -21,87J/(mol∙K)
Da ΔS° &lt; 0, vil reaktionen skabe mere orden.
Beregning af ΔG°,298 K:
Opslag i databog:
ΔG° = ΣG°ₚ - ΣG°ᵣ
I vores tilfælde:
ΔG° =  - ()
Ved indsættelse af værdier fås:
ΔG° =  kJ/mol - ( kJ/mol) 
= 0,000 kJ/mol
Altså er ΔG° = 0,000 kJ/mol. Da ΔG°(298 K) &lt; 0, forløber reaktionen spontant ved 298 K og standardbetingelser.
Beregning af ΔG° ved 673,15 K
ΔG°(T) = ΔH° - T ∙ ΔS°
Ved indsættelse fås herved:
ΔG°(673,15 K) =  + 673,15 K ∙ -21,87 J/(mol∙K) = -5,152 kJ/mol
Altså er ΔG°(673,15 K) = -5,152 kJ/mol. Da ΔG°(673,15 K) &lt; 0, vil reaktionen forløbe spontant ved 673,15 K og standardbetingelser.
Beregning af K ved temperaturen 673,15 K:
ln(K) = -ΔG°/(R∙T)
ved indsættelse fås:
ln(K) = -(-5,152∙1000 J/mol)/(8,3144 J⋅K⁻¹⋅mol⁻¹ ∙ 673,15 K) = 0,9205
Herfra kan værdien for K isoleres:
K = e^(0,9205) = 2,510
Altså er værdien for ligevægtskonstanten lig med 2,510. Når K er større end 1, vil reaktionen forløbe imod højre ved standardbetingelser (hvis alle koncentrationer er 1 M og alle tryk er 1 bar) og T = 673,15 K.
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&gt;(-19,87∙1000 J∙mol⁻¹)/(-21,87 J∙mol⁻¹∙K⁻¹) = 908,7 K 
Vi ser af ΔS°&gt; 0. Reaktionen er entropidreven, så når T &gt; 908,7 K, forløber reaktionen mod højre ved std-tilstande.
Y = 
Værdien for reaktionsbrøken, Y, findes ved at indsætte værdierne. Herved fås:
Y =  = 1,000 
Altså er Y bestemt til at være 1,000 . 
</v>
      </c>
      <c r="S22" s="292"/>
      <c r="T22" s="292"/>
      <c r="U22" s="293"/>
      <c r="W22" s="9"/>
      <c r="BT22" s="10" t="s">
        <v>110</v>
      </c>
      <c r="BU22" s="10" t="s">
        <v>111</v>
      </c>
      <c r="BV22" s="175" t="s">
        <v>5706</v>
      </c>
      <c r="BW22" s="175" t="s">
        <v>5748</v>
      </c>
    </row>
    <row r="23" spans="1:79">
      <c r="A23" s="7"/>
      <c r="B23" s="85" t="s">
        <v>112</v>
      </c>
      <c r="C23" s="90"/>
      <c r="D23" s="91" t="str">
        <f t="shared" ref="D23:D24" si="12">AG34</f>
        <v/>
      </c>
      <c r="E23" s="92"/>
      <c r="F23" s="247" t="str">
        <f t="shared" ref="F23:F26" si="13">AH34</f>
        <v>Det fremgår fra Van't Hoffs ligning, at skæringen med Y-aksen i et Van't Hoff plot er et udtryk for entropien:
b = ΔS°/R ⇔
ΔS° = b∙R
Ved indsættelse af værdier fås:
ΔS° = -2,63∙ 8,314462 J⋅K⁻¹⋅mol⁻¹ ≈ -21,87J/(mol∙K)
Da ΔS° &lt; 0, vil reaktionen skabe mere orden.</v>
      </c>
      <c r="G23" s="248"/>
      <c r="H23" s="248"/>
      <c r="I23" s="248"/>
      <c r="J23" s="248"/>
      <c r="K23" s="248"/>
      <c r="L23" s="248"/>
      <c r="M23" s="249"/>
      <c r="N23" s="294" t="str">
        <f t="shared" ref="N23:N24" si="14">AM34</f>
        <v>Det fremgår fra Van't Hoffs ligning, at skæringen med Y-aksen i et Van't Hoff plot er et udtryk for entropien:
b = ΔS°/R ⇔
ΔS° = b∙R
Ved indsættelse af værdier fås:
ΔS° = -2,63∙ 8,314462 J⋅K⁻¹⋅mol⁻¹ ≈ -21,87J/(mol∙K)
Da ΔS° &lt; 0, vil reaktionen skabe mere orden.</v>
      </c>
      <c r="O23" s="295"/>
      <c r="P23" s="296"/>
      <c r="Q23" t="s">
        <v>106</v>
      </c>
      <c r="W23" s="9"/>
      <c r="BT23" s="10" t="s">
        <v>113</v>
      </c>
      <c r="BU23" s="10" t="s">
        <v>114</v>
      </c>
      <c r="BV23" s="175" t="s">
        <v>5707</v>
      </c>
      <c r="BW23" s="175" t="s">
        <v>5749</v>
      </c>
    </row>
    <row r="24" spans="1:79" ht="15.75" thickBot="1">
      <c r="A24" s="7"/>
      <c r="B24" s="85" t="s">
        <v>115</v>
      </c>
      <c r="C24" s="90"/>
      <c r="D24" s="91" t="str">
        <f t="shared" si="12"/>
        <v>0,000 kJ/mol</v>
      </c>
      <c r="E24" s="92"/>
      <c r="F24" s="247" t="str">
        <f t="shared" si="13"/>
        <v>Da ΔG°(298 K) &lt; 0, forløber reaktionen spontant ved 298 K og standardbetingelser.</v>
      </c>
      <c r="G24" s="248"/>
      <c r="H24" s="248"/>
      <c r="I24" s="248"/>
      <c r="J24" s="248"/>
      <c r="K24" s="248"/>
      <c r="L24" s="248"/>
      <c r="M24" s="249"/>
      <c r="N24" s="297" t="str">
        <f t="shared" si="14"/>
        <v xml:space="preserve">Beregning af ΔG°,298 K:
Opslag i databog:
ΔG° = ΣG°ₚ - ΣG°ᵣ
I vores tilfælde:
ΔG° =  - ()
Ved indsættelse af værdier fås:
ΔG° =  kJ/mol - ( kJ/mol) 
= 0,000 kJ/mol
Altså er ΔG° = 0,000 kJ/mol. Da ΔG°(298 K) &lt; 0, forløber reaktionen spontant ved 298 K og standardbetingelser.
</v>
      </c>
      <c r="O24" s="298"/>
      <c r="P24" s="299"/>
      <c r="Q24" t="s">
        <v>106</v>
      </c>
      <c r="W24" s="9"/>
      <c r="BT24" s="10" t="s">
        <v>116</v>
      </c>
      <c r="BU24" s="10" t="s">
        <v>117</v>
      </c>
      <c r="BV24" s="175" t="s">
        <v>5708</v>
      </c>
      <c r="BW24" s="175" t="s">
        <v>5750</v>
      </c>
    </row>
    <row r="25" spans="1:79" ht="15.75" customHeight="1">
      <c r="A25" s="7"/>
      <c r="B25" s="85" t="str">
        <f>AE36</f>
        <v>ΔG°(673,15 K) - via ΔS° og ΔH°</v>
      </c>
      <c r="C25" s="90"/>
      <c r="D25" s="91" t="str">
        <f>AG36</f>
        <v>-5,152 kJ/mol</v>
      </c>
      <c r="E25" s="92"/>
      <c r="F25" s="247" t="str">
        <f t="shared" si="13"/>
        <v>Da ΔG°(673,15 K) &lt; 0, vil reaktionen forløbe spontant ved 673,15 K og standardbetingelser.</v>
      </c>
      <c r="G25" s="248"/>
      <c r="H25" s="248"/>
      <c r="I25" s="248"/>
      <c r="J25" s="248"/>
      <c r="K25" s="248"/>
      <c r="L25" s="248"/>
      <c r="M25" s="249"/>
      <c r="N25" s="288" t="str">
        <f>AM36</f>
        <v xml:space="preserve">Beregning af ΔG° ved 673,15 K
ΔG°(T) = ΔH° - T ∙ ΔS°
Ved indsættelse fås herved:
ΔG°(673,15 K) =  + 673,15 K ∙ -21,87 J/(mol∙K) = -5,152 kJ/mol
Altså er ΔG°(673,15 K) = -5,152 kJ/mol. Da ΔG°(673,15 K) &lt; 0, vil reaktionen forløbe spontant ved 673,15 K og standardbetingelser.
</v>
      </c>
      <c r="O25" s="289"/>
      <c r="P25" s="290"/>
      <c r="Q25" t="s">
        <v>106</v>
      </c>
      <c r="W25" s="9"/>
      <c r="AE25" t="s">
        <v>118</v>
      </c>
      <c r="AF25" s="93"/>
      <c r="AG25" s="83" t="str">
        <f>IF(AI9="","",IF(AI9="ikke i databog",IF(AF9&lt;&gt;1,AF9&amp;" ","")&amp;AG9&amp;" ("&amp;AH9&amp;") + ",IF(AF9&lt;&gt;1,AF9&amp;" ","")&amp;AI9&amp; " + "))</f>
        <v/>
      </c>
      <c r="AH25" s="83" t="str">
        <f>IF(AI7="","",IF(AI7="ikke i databog",IF(AF7&lt;&gt;1,AF7&amp;" ","")&amp;AG7&amp;" ("&amp;AH7&amp;") + ",IF(AF7&lt;&gt;1,AF7&amp;" ","")&amp;AI7&amp; " + "))</f>
        <v/>
      </c>
      <c r="AI25" s="83" t="str">
        <f>IF(AI5="","",IF(AI5="ikke i databog",IF(AF5&lt;&gt;1,AF5&amp;" ","")&amp;AG5&amp;" ("&amp;AH5&amp;")",IF(AF5&lt;&gt;1,AF5&amp;" ","")&amp;AI5))</f>
        <v/>
      </c>
      <c r="AJ25" s="83" t="s">
        <v>119</v>
      </c>
      <c r="AK25" s="83" t="str">
        <f>IF(AI13="","",IF(AI13="ikke i databog",IF(AF13&lt;&gt;1,AF13&amp;" ","")&amp;AG13&amp;" ("&amp;AH13&amp;")",IF(AF13&lt;&gt;1,AF13&amp;" ","")&amp;AI13))</f>
        <v/>
      </c>
      <c r="AL25" s="83" t="str">
        <f>IF(AI15="","",IF(AI15="ikke i databog"," + "&amp;IF(AF15&lt;&gt;1,AF15&amp;" ","")&amp;AG15&amp;" ("&amp;AH15&amp;")"," + "&amp;IF(AF15&lt;&gt;1,AF15&amp;" ","")&amp;AI15))</f>
        <v/>
      </c>
      <c r="AM25" s="83" t="str">
        <f>IF(AI17="","",IF(AI17="ikke i databog","+ "&amp;IF(AF17&lt;&gt;1,AF17&amp;" ","")&amp;AG17&amp;" ("&amp;AH17&amp;")","+ "&amp;IF(AF17&lt;&gt;1,AF17&amp;" ","")&amp;AI17))</f>
        <v/>
      </c>
      <c r="AN25" s="83"/>
      <c r="AO25" s="83"/>
      <c r="AP25" s="83"/>
      <c r="AQ25" s="83"/>
      <c r="BC25" s="1" t="s">
        <v>120</v>
      </c>
      <c r="BD25" s="2" t="s">
        <v>121</v>
      </c>
      <c r="BE25" s="94"/>
      <c r="BF25" s="2" t="s">
        <v>122</v>
      </c>
      <c r="BG25" s="2" t="s">
        <v>123</v>
      </c>
      <c r="BH25" s="2"/>
      <c r="BI25" s="2" t="s">
        <v>124</v>
      </c>
      <c r="BJ25" s="5" t="s">
        <v>125</v>
      </c>
      <c r="BO25" s="95" t="s">
        <v>126</v>
      </c>
      <c r="BP25" s="96" t="s">
        <v>77</v>
      </c>
      <c r="BU25" t="s">
        <v>127</v>
      </c>
      <c r="BV25" s="175" t="s">
        <v>5709</v>
      </c>
      <c r="BW25" s="175" t="s">
        <v>5751</v>
      </c>
    </row>
    <row r="26" spans="1:79">
      <c r="A26" s="7"/>
      <c r="B26" s="85" t="str">
        <f>"Beregning af K ("&amp;AV4&amp;" K)"</f>
        <v>Beregning af K (673,15 K)</v>
      </c>
      <c r="C26" s="90"/>
      <c r="D26" s="97" t="str">
        <f>AG37</f>
        <v xml:space="preserve">2,510 </v>
      </c>
      <c r="E26" s="92"/>
      <c r="F26" s="247" t="str">
        <f t="shared" si="13"/>
        <v>Når K er større end 1, vil reaktionen forløbe imod højre ved standardbetingelser (hvis alle koncentrationer er 1 M og alle tryk er 1 bar) og T = 673,15 K.</v>
      </c>
      <c r="G26" s="248"/>
      <c r="H26" s="248"/>
      <c r="I26" s="248"/>
      <c r="J26" s="248"/>
      <c r="K26" s="248"/>
      <c r="L26" s="248"/>
      <c r="M26" s="249"/>
      <c r="N26" s="294" t="str">
        <f t="shared" ref="N26:N30" si="15">AM37</f>
        <v xml:space="preserve">Beregning af K ved temperaturen 673,15 K:
ln(K) = -ΔG°/(R∙T)
ved indsættelse fås:
ln(K) = -(-5,152∙1000 J/mol)/(8,3144 J⋅K⁻¹⋅mol⁻¹ ∙ 673,15 K) = 0,9205
Herfra kan værdien for K isoleres:
K = e^(0,9205) = 2,510
Altså er værdien for ligevægtskonstanten lig med 2,510. Når K er større end 1, vil reaktionen forløbe imod højre ved standardbetingelser (hvis alle koncentrationer er 1 M og alle tryk er 1 bar) og T = 673,15 K.
</v>
      </c>
      <c r="O26" s="295"/>
      <c r="P26" s="296"/>
      <c r="Q26" t="s">
        <v>106</v>
      </c>
      <c r="W26" s="9"/>
      <c r="AE26" t="s">
        <v>128</v>
      </c>
      <c r="AG26" s="98" t="str">
        <f>IF(OR(AI9="ikke i databog",AI9=""),"",AP9)</f>
        <v/>
      </c>
      <c r="AH26" s="98" t="str">
        <f>IF(OR(AI7="ikke i databog",AI7=""),"",AP7)</f>
        <v/>
      </c>
      <c r="AI26" s="98" t="str">
        <f>IF(OR(AI5="ikke i databog",AI5=""),"",VALUE(AP5))</f>
        <v/>
      </c>
      <c r="AJ26" s="99"/>
      <c r="AK26" s="100" t="str">
        <f>IF(OR(AI13="ikke i databog",AI13=""),"",AP13)</f>
        <v/>
      </c>
      <c r="AL26" s="98" t="str">
        <f>IF(OR(AI15="ikke i databog",AI15=""),"",AP15)</f>
        <v/>
      </c>
      <c r="AM26" s="100" t="str">
        <f>IF(OR(AI17="ikke i databog",AI17=""),"",AP17)</f>
        <v/>
      </c>
      <c r="BC26" s="7" t="str">
        <f>IF(OR(AI26&lt;&gt;"",AI27&lt;&gt;"")&lt;&gt;0,$AZ$5&amp;BD4,"")&amp;IF(OR(AH26&lt;&gt;"",AH27&lt;&gt;"")," + "&amp;$AZ$7&amp;BC4,"")&amp;IF(OR(AG26&lt;&gt;"",AG27&lt;&gt;"")," + "&amp;AZ9&amp;BB4,"")</f>
        <v/>
      </c>
      <c r="BD26" t="str">
        <f>IF(OR(AK26&lt;&gt;"",AK27&lt;&gt;"")&lt;&gt;0,$AZ$13&amp;BF4,"")&amp;IF(OR(AL26&lt;&gt;"",AL27&lt;&gt;"")," + "&amp;$AZ$15&amp;BG4,"")&amp;IF(OR(AM26&lt;&gt;"",AM27&lt;&gt;"")," + "&amp;$AZ$17&amp;BH4,"")</f>
        <v/>
      </c>
      <c r="BF26" t="str">
        <f>IF(OR(AI28&lt;&gt;"",AI29&lt;&gt;"")&lt;&gt;0,$AZ$5&amp;BD6,"")&amp;IF(OR(AH28&lt;&gt;"",AH29&lt;&gt;"")," + "&amp;$AZ$7&amp;BC6,"")&amp;IF(OR(AG28&lt;&gt;"",AG29&lt;&gt;"")," + "&amp;AZ9&amp;BB6,"")</f>
        <v/>
      </c>
      <c r="BG26" t="str">
        <f>IF(OR(AK28&lt;&gt;"",AK29&lt;&gt;"")&lt;&gt;0,$AZ$13&amp;BF6,"")&amp;IF(OR(AL28&lt;&gt;"",AL29&lt;&gt;"")," + "&amp;$AZ$15&amp;BG6,"")&amp;IF(OR(AM28&lt;&gt;"",AM29&lt;&gt;"")," + "&amp;$AZ$17&amp;BH6,"")</f>
        <v/>
      </c>
      <c r="BI26" t="str">
        <f>IF(OR(AI30&lt;&gt;"",AI31&lt;&gt;"")&lt;&gt;0,$AZ$5&amp;BD8,"")&amp;IF(OR(AH30&lt;&gt;"",AH31&lt;&gt;"")," + "&amp;$AZ$7&amp;BC8,"")&amp;IF(OR(AG30&lt;&gt;"",AG31&lt;&gt;"")," + "&amp;AZ9&amp;BB8,"")</f>
        <v/>
      </c>
      <c r="BJ26" s="9" t="str">
        <f>IF(OR(AK30&lt;&gt;"",AK31&lt;&gt;"")&lt;&gt;0,$AZ$13&amp;BF8,"")&amp;IF(OR(AL30&lt;&gt;"",AL31&lt;&gt;"")," + "&amp;$AZ$15&amp;BG8,"")&amp;IF(OR(AM30&lt;&gt;"",AM31&lt;&gt;"")," + "&amp;$AZ$17&amp;BH8,"")</f>
        <v/>
      </c>
      <c r="BO26" s="101" t="str" cm="1">
        <f t="array" ref="BO26">IF(AND(AH5:AH9=""),"",_xlfn.CONCAT(AG25:AM25)&amp;"
"&amp;IF(OR(AH5:AH17="l"),"Det antages, at alle væskerne er ufortyndede, og at molbrøken for flydende væsker antages med værdien 1.
","")&amp;"Reaktionsbrøken kan opskrives som:
")</f>
        <v/>
      </c>
      <c r="BP26" s="102" t="str">
        <f>IFERROR("Y = "&amp;IF(BL13="","",BL13&amp;BM13)&amp;IF(BL15="","",BL15&amp;BM15)&amp;IF(BL17="","",BL17&amp;BM17)&amp;IF(BS26=0,"",IF(BS27=0,"1","")&amp;IF(BS26&gt;1,"/(","/")&amp;IF(BL5="","",BL5&amp;BM5)&amp;IF(BL7="","",BL7&amp;BM7)&amp;IF(BL9="","",BL9&amp;BM9))&amp;IF(BS26&gt;1,")",""),"reaktionsbrøken kan ikke skrives i gammelt Excel")</f>
        <v xml:space="preserve">Y = </v>
      </c>
      <c r="BR26" s="10" t="s">
        <v>129</v>
      </c>
      <c r="BS26" s="10">
        <f>SUM(BX5:BY11)</f>
        <v>0</v>
      </c>
      <c r="BU26" t="b">
        <f>IF(AND(CA5,CA7,CA9,CA13,CA15,CA17),TRUE)</f>
        <v>1</v>
      </c>
      <c r="BV26" s="175" t="s">
        <v>5710</v>
      </c>
      <c r="BW26" s="175" t="s">
        <v>5752</v>
      </c>
    </row>
    <row r="27" spans="1:79" ht="15.75" thickBot="1">
      <c r="A27" s="7"/>
      <c r="B27" s="85" t="s">
        <v>130</v>
      </c>
      <c r="C27" s="90"/>
      <c r="D27" s="91" t="str">
        <f t="shared" ref="D27:D29" si="16">AG38</f>
        <v>908,7 K</v>
      </c>
      <c r="E27" s="92"/>
      <c r="F27" s="247" t="str">
        <f>AH38</f>
        <v>Vi ser af ΔS°&gt; 0. Reaktionen er entropidreven, så når T &gt; 908,7 K, forløber reaktionen mod højre ved std-tilstande.</v>
      </c>
      <c r="G27" s="248"/>
      <c r="H27" s="248"/>
      <c r="I27" s="248"/>
      <c r="J27" s="248"/>
      <c r="K27" s="248"/>
      <c r="L27" s="248"/>
      <c r="M27" s="249"/>
      <c r="N27" s="294" t="str">
        <f t="shared" si="15"/>
        <v xml:space="preserve">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&gt;(-19,87∙1000 J∙mol⁻¹)/(-21,87 J∙mol⁻¹∙K⁻¹) = 908,7 K 
Vi ser af ΔS°&gt; 0. Reaktionen er entropidreven, så når T &gt; 908,7 K, forløber reaktionen mod højre ved std-tilstande.
</v>
      </c>
      <c r="O27" s="295"/>
      <c r="P27" s="296"/>
      <c r="Q27" t="s">
        <v>106</v>
      </c>
      <c r="W27" s="9"/>
      <c r="AE27" t="s">
        <v>131</v>
      </c>
      <c r="AG27" s="103" t="str">
        <f>IF(I9="","",I9)</f>
        <v/>
      </c>
      <c r="AH27" s="103" t="str">
        <f>IF(F9="","",F9)</f>
        <v/>
      </c>
      <c r="AI27" s="103" t="str">
        <f>IF(C9="","",C9)</f>
        <v/>
      </c>
      <c r="AJ27" s="99"/>
      <c r="AK27" s="103" t="str">
        <f>IF(N9="","",N9)</f>
        <v/>
      </c>
      <c r="AL27" s="103" t="str">
        <f>IF(Q9="","",Q9)</f>
        <v/>
      </c>
      <c r="AM27" s="103" t="str">
        <f>IF(T9="","",T9)</f>
        <v/>
      </c>
      <c r="BC27" s="71" t="str">
        <f>$AZ$5&amp;IF(AND(BP5&lt;0,$AF$5&gt;1),"(","")&amp;BP5&amp;IF(AND(BP5&lt;0,$AF$5&gt;1),") ","")&amp;IF(BP5="",""," kJ/mol")&amp;IF(BQ5="","",IF(AND(BQ5&lt;0,$AF$7&lt;2)," "," + ")&amp;$AZ$7&amp;IF(AND($AF$7&gt;1,BQ5&lt;0),"(","")&amp;BQ5&amp;IF(AND($AF$7&gt;1,BQ5&lt;0),") ","")&amp;IF(BQ5="",""," kJ/mol")&amp;IF(BR5="","",IF(AND(BR5&lt;0,$AF$9&lt;2)," "," + ")&amp;$AZ$9&amp;IF(AND($AF$9&gt;1,BR5&lt;0),"(","")&amp;BR5&amp;IF(AND($AF$9&gt;1,BR5&lt;0),") ","")&amp;IF(BR5="",""," kJ/mol")))</f>
        <v/>
      </c>
      <c r="BD27" s="68" t="str">
        <f>$AZ$13&amp;IF(AND(BP6&lt;0,$AF$13&gt;1),"(","")&amp;BP6&amp;IF(AND(BP6&lt;0,$AF$13&gt;1),") ","")&amp;IF(BP6="",""," kJ/mol")&amp;IF(BQ6="","",IF(AND(BQ6&lt;0,$AF$15&lt;2)," "," + ")&amp;$AZ$15&amp;IF(AND($AF$15&gt;1,BQ6&lt;0),"(","")&amp;BQ6&amp;IF(AND($AF$15&gt;1,BQ6&lt;0),") ","")&amp;IF(BQ6="",""," kJ/mol")&amp;IF(BR6="","",IF(AND(BR6&lt;0,$AF$17&lt;2)," "," + ")&amp;$AZ$17&amp;IF(AND($AF$17&gt;1,BR6&lt;0),"(","")&amp;BR6&amp;IF(AND($AF$17&gt;1,BR6&lt;0),") ","")&amp;IF(BR6="",""," kJ/mol")))</f>
        <v/>
      </c>
      <c r="BE27" s="68"/>
      <c r="BF27" s="68" t="str">
        <f>$AZ$5&amp;IF(AND(BP7&lt;0,$AF$5&gt;1),"(","")&amp;BP7&amp;IF(AND(BP7&lt;0,$AF$5&gt;1),") ","")&amp;" J/(mol∙K)"&amp;IF(BQ7="","",IF(AND(BQ7&lt;0,$AF$7&lt;2)," "," + ")&amp;$AZ$7&amp;IF(AND($AF$7&gt;1,BQ7&lt;0),"(","")&amp;BQ7&amp;IF(AND($AF$7&gt;1,BP7&lt;0),") ","")&amp;" J/(mol∙K)"&amp;IF(BR7="","",IF(AND(BR7&lt;0,$AF$9&lt;2)," "," + ")&amp;$AZ$9&amp;IF(AND($AF$9&gt;1,BR7&lt;0),"(","")&amp;BR7&amp;IF(AND($AF$9&gt;1,BR7&lt;0),") ","")&amp;" J/(mol∙K)"))</f>
        <v xml:space="preserve"> J/(mol∙K)</v>
      </c>
      <c r="BG27" s="68" t="str">
        <f>$AZ$13&amp;IF(AND(BP8&lt;0,$AF$13&gt;1),"(","")&amp;BP8&amp;IF(AND(BP8&lt;0,$AF$13&gt;1),") ","")&amp;" J/(mol∙K)"&amp;IF(BQ8="","",IF(AND(BQ8&lt;0,$AF$15&lt;2)," "," + ")&amp;$AZ$15&amp;IF(AND($AF$15&gt;1,BQ8&lt;0),"(","")&amp;BQ8&amp;IF(AND($AF$15&gt;1,BQ8&lt;0),") ","")&amp;" J/(mol∙K)"&amp;IF(BR8="","",IF(AND(BR8&lt;0,$AF$17&lt;2)," "," + ")&amp;$AZ$17&amp;IF(AND($AF$17&gt;1,BR8&lt;0),"(","")&amp;BR8&amp;IF(AND($AF$17&gt;1,BR8&lt;0),") ","")&amp;" J/(mol∙K)"))</f>
        <v xml:space="preserve"> J/(mol∙K)</v>
      </c>
      <c r="BH27" s="68"/>
      <c r="BI27" s="68" t="str">
        <f>$AZ$5&amp;IF(AND(BP9&lt;0,$AF$5&gt;1),"(","")&amp;BP9&amp;IF(AND(BP9&lt;0,$AF$5&gt;1),") ","")&amp;" kJ/mol"&amp;IF(BQ9="","",IF(AND(BQ9&lt;0,$AF$7&lt;2)," "," + ")&amp;$AZ$7&amp;IF(AND($AF$7&gt;1,BQ9&lt;0),"(","")&amp;BQ9&amp;IF(AND($AF$7&gt;1,BQ9&lt;0),") ","")&amp;" kJ/mol"&amp;IF(BR9="","",IF(AND(BR9&lt;0,$AF$9&lt;2)," "," + ")&amp;$AZ$9&amp;IF(AND($AF$9&gt;1,BR9&lt;0),"(","")&amp;BR9&amp;IF(AND($AF$9&gt;1,BR9&lt;0),") ","")&amp;" kJ/mol"))</f>
        <v xml:space="preserve"> kJ/mol</v>
      </c>
      <c r="BJ27" s="74" t="str">
        <f>$AZ$13&amp;IF(AND(BP10&lt;0,$AF$13&gt;1),"(","")&amp;BP10&amp;IF(AND(BP10&lt;0,$AF$13&gt;1),") ","")&amp;" kJ/mol"&amp;IF(BQ10="","",IF(AND(BQ10&lt;0,$AF$15&lt;2)," "," + ")&amp;$AZ$15&amp;IF(AND($AF$15&gt;1,BQ10&lt;0),"(","")&amp;BQ10&amp;IF(AND($AF$15&gt;1,BQ10&lt;0),") ","")&amp;" kJ/mol"&amp;IF(BR10="","",IF(AND(BR10&lt;0,$AF$17&lt;2)," "," + ")&amp;$AZ$17&amp;IF(AND($AF$17&gt;1,BR10&lt;0),"(","")&amp;BR10&amp;IF(AND($AF$17&gt;1,BR10&lt;0),") ","")&amp;" kJ/mol"))</f>
        <v xml:space="preserve"> kJ/mol</v>
      </c>
      <c r="BO27" s="104"/>
      <c r="BP27" s="105" t="str">
        <f>IFERROR(IF(BS26&gt;1,"(","")&amp;BN13&amp;IF(BN15="","","∙")&amp;BN15&amp;IF(AND(OR(BN13&lt;&gt;"",BN15&lt;&gt;""),BN17&lt;&gt;""),"∙","")&amp;BN17&amp;IF(BS26&gt;1,")","")&amp;IF(BS26=0,"",IF(BS26&gt;1,"/(","/")&amp;BN5&amp;IF(BN7="","","∙")&amp;BN7&amp;IF(BN9="","","∙")&amp;BN9&amp;IF(BS26&gt;1,")","")),"reaktionsbrøken kan ikke skrives i gammelt Excel")</f>
        <v/>
      </c>
      <c r="BR27" s="10" t="s">
        <v>132</v>
      </c>
      <c r="BS27" s="10">
        <f>SUM(BX11:BY17)</f>
        <v>0</v>
      </c>
      <c r="BV27" s="175" t="s">
        <v>5711</v>
      </c>
      <c r="BW27" s="175" t="s">
        <v>5753</v>
      </c>
    </row>
    <row r="28" spans="1:79">
      <c r="A28" s="7"/>
      <c r="B28" s="85" t="s">
        <v>133</v>
      </c>
      <c r="C28" s="90"/>
      <c r="D28" s="91" t="str">
        <f t="shared" si="16"/>
        <v/>
      </c>
      <c r="E28" s="92"/>
      <c r="F28" s="247" t="str">
        <f t="shared" ref="F28:F30" si="17">AH39</f>
        <v/>
      </c>
      <c r="G28" s="248"/>
      <c r="H28" s="248"/>
      <c r="I28" s="248"/>
      <c r="J28" s="248"/>
      <c r="K28" s="248"/>
      <c r="L28" s="248"/>
      <c r="M28" s="249"/>
      <c r="N28" s="294" t="str">
        <f t="shared" si="15"/>
        <v xml:space="preserve">Y = </v>
      </c>
      <c r="O28" s="295"/>
      <c r="P28" s="296"/>
      <c r="Q28" t="s">
        <v>106</v>
      </c>
      <c r="W28" s="9"/>
      <c r="AE28" t="s">
        <v>134</v>
      </c>
      <c r="AG28" s="106" t="str">
        <f>IF(OR(AI9="ikke i databog",AI9=""),"",AQ9)</f>
        <v/>
      </c>
      <c r="AH28" s="106" t="str">
        <f>IF(OR(AI7="ikke i databog",AI7=""),"",AQ7)</f>
        <v/>
      </c>
      <c r="AI28" s="106" t="str">
        <f>IF(OR(AI5="ikke i databog",AI5=""),"",AQ5)</f>
        <v/>
      </c>
      <c r="AJ28" s="107"/>
      <c r="AK28" s="106" t="str">
        <f>IF(OR(AI13="ikke i databog",AI13=""),"",AQ13)</f>
        <v/>
      </c>
      <c r="AL28" s="106" t="str">
        <f>IF(OR(AI15="ikke i databog",AI15=""),"",AQ15)</f>
        <v/>
      </c>
      <c r="AM28" s="106" t="str">
        <f>IF(OR(AI17="ikke i databog",AI17=""),"",AQ17)</f>
        <v/>
      </c>
      <c r="AT28" s="6"/>
      <c r="BV28" s="175" t="s">
        <v>5712</v>
      </c>
      <c r="BW28" s="175" t="s">
        <v>5754</v>
      </c>
    </row>
    <row r="29" spans="1:79">
      <c r="A29" s="7"/>
      <c r="B29" s="85" t="s">
        <v>135</v>
      </c>
      <c r="C29" s="90"/>
      <c r="D29" s="91" t="str">
        <f t="shared" si="16"/>
        <v/>
      </c>
      <c r="E29" s="92"/>
      <c r="F29" s="247" t="str">
        <f t="shared" si="17"/>
        <v/>
      </c>
      <c r="G29" s="248"/>
      <c r="H29" s="248"/>
      <c r="I29" s="248"/>
      <c r="J29" s="248"/>
      <c r="K29" s="248"/>
      <c r="L29" s="248"/>
      <c r="M29" s="249"/>
      <c r="N29" s="294" t="str">
        <f t="shared" si="15"/>
        <v xml:space="preserve">Værdien for reaktionsbrøken, Y, findes ved at indsætte værdierne. Herved fås:
Y =  = 1,000 
Altså er Y bestemt til at være 1,000 . 
</v>
      </c>
      <c r="O29" s="295"/>
      <c r="P29" s="296"/>
      <c r="Q29" t="s">
        <v>106</v>
      </c>
      <c r="W29" s="9"/>
      <c r="AE29" t="s">
        <v>136</v>
      </c>
      <c r="AG29" s="108" t="str">
        <f>IF(I10="","",I10)</f>
        <v/>
      </c>
      <c r="AH29" s="108" t="str">
        <f>IF(F10="","",F10)</f>
        <v/>
      </c>
      <c r="AI29" s="109" t="str">
        <f>IF(C10="","",C10)</f>
        <v/>
      </c>
      <c r="AJ29" s="107"/>
      <c r="AK29" s="108" t="str">
        <f>IF(N10="","",N10)</f>
        <v/>
      </c>
      <c r="AL29" s="108" t="str">
        <f>IF(Q10="","",Q10)</f>
        <v/>
      </c>
      <c r="AM29" s="108" t="str">
        <f>IF(T10="","",T10)</f>
        <v/>
      </c>
      <c r="AT29" s="6"/>
      <c r="BF29" s="110"/>
      <c r="BH29" s="33"/>
      <c r="BO29" t="s">
        <v>137</v>
      </c>
      <c r="BP29" t="str">
        <f>SUBSTITUTE(SUBSTITUTE(SUBSTITUTE(SUBSTITUTE(SUBSTITUTE(SUBSTITUTE(SUBSTITUTE(BP26,$BT$17,$BU$17),$BT$18,$BU$18),$BT$19,$BU$19),$BT$20,$BU$20),$BT$21,$BU$21),$BT$22,$BU$22),$BT$23,$BU$23)</f>
        <v xml:space="preserve">Y = </v>
      </c>
      <c r="BV29" s="175" t="s">
        <v>5713</v>
      </c>
      <c r="BW29" s="175"/>
    </row>
    <row r="30" spans="1:79" ht="15.75" thickBot="1">
      <c r="A30" s="7"/>
      <c r="B30" s="111" t="s">
        <v>138</v>
      </c>
      <c r="C30" s="112"/>
      <c r="D30" s="113" t="str">
        <f>AG41</f>
        <v/>
      </c>
      <c r="E30" s="114"/>
      <c r="F30" s="115" t="str">
        <f t="shared" si="17"/>
        <v>Når ΔG er mindre end 0, vil reaktionen ikke være i ligevægt, og vil forløbe spontant mod højre for at opnå ligevægt.</v>
      </c>
      <c r="G30" s="116"/>
      <c r="H30" s="116"/>
      <c r="I30" s="116"/>
      <c r="J30" s="116"/>
      <c r="K30" s="116"/>
      <c r="L30" s="116"/>
      <c r="M30" s="117"/>
      <c r="N30" s="279" t="str">
        <f t="shared" si="15"/>
        <v/>
      </c>
      <c r="O30" s="280"/>
      <c r="P30" s="281"/>
      <c r="Q30" t="s">
        <v>106</v>
      </c>
      <c r="W30" s="9"/>
      <c r="AE30" t="s">
        <v>139</v>
      </c>
      <c r="AG30" s="106" t="str">
        <f>IF(OR(AI9="ikke i databog",AI9=""),"",AR9)</f>
        <v/>
      </c>
      <c r="AH30" s="106" t="str">
        <f>IF(OR(AI7="ikke i databog",AI7=""),"",AR7)</f>
        <v/>
      </c>
      <c r="AI30" s="106" t="str">
        <f>IF(OR(AI5="ikke i databog",AI5=""),"",AR5)</f>
        <v/>
      </c>
      <c r="AJ30" s="10"/>
      <c r="AK30" s="106" t="str">
        <f>IF(OR(AI13="ikke i databog",AI13=""),"",AR13)</f>
        <v/>
      </c>
      <c r="AL30" s="106" t="str">
        <f>IF(OR(AI15="ikke i databog",AI15=""),"",AR15)</f>
        <v/>
      </c>
      <c r="AM30" s="106" t="str">
        <f>IF(OR(AI17="ikke i databog",AI17=""),"",AR17)</f>
        <v/>
      </c>
      <c r="AU30" s="6"/>
      <c r="AV30" s="6"/>
      <c r="AW30" s="6"/>
      <c r="BF30" t="str">
        <f>BQ6</f>
        <v/>
      </c>
      <c r="BV30" s="175" t="s">
        <v>5714</v>
      </c>
      <c r="BW30" s="175" t="s">
        <v>5755</v>
      </c>
    </row>
    <row r="31" spans="1:79" ht="14.25" customHeight="1" thickBot="1">
      <c r="A31" s="7"/>
      <c r="Q31" t="s">
        <v>106</v>
      </c>
      <c r="W31" s="9"/>
      <c r="AE31" t="s">
        <v>140</v>
      </c>
      <c r="AG31" s="108" t="str">
        <f>IF(I11="","",I11)</f>
        <v/>
      </c>
      <c r="AH31" s="109" t="str">
        <f>IF(F11="","",F11)</f>
        <v/>
      </c>
      <c r="AI31" s="109" t="str">
        <f>IF(C11="","",C11)</f>
        <v/>
      </c>
      <c r="AJ31" s="10"/>
      <c r="AK31" s="108" t="str">
        <f>IF(N11="","",N11)</f>
        <v/>
      </c>
      <c r="AL31" s="108" t="str">
        <f>IF(Q11="","",Q11)</f>
        <v/>
      </c>
      <c r="AM31" s="108" t="str">
        <f>IF(T11="","",T11)</f>
        <v/>
      </c>
      <c r="BF31" s="6"/>
      <c r="BV31" s="175" t="s">
        <v>5715</v>
      </c>
      <c r="BW31" s="175" t="s">
        <v>5756</v>
      </c>
    </row>
    <row r="32" spans="1:79" ht="15.75" thickBot="1">
      <c r="W32" s="9"/>
      <c r="AM32" s="118" t="str">
        <f>"Vi betragter følgende reaktion:
"&amp;_xlfn.CONCAT(AG25:AM25)&amp;"
"&amp;IF(AND(AF19="",AF20&lt;&gt;""),"Temperaturen er oplyst til at være (273,15 + "&amp;AF20&amp;") K = "&amp;AU4&amp;" K","")&amp;"
"</f>
        <v xml:space="preserve">Vi betragter følgende reaktion:
 ⟶ 
Temperaturen er oplyst til at være (273,15 + 400) K = 673,15 K
</v>
      </c>
      <c r="AN32" s="119"/>
      <c r="AO32" s="119"/>
      <c r="AP32" s="119"/>
      <c r="AQ32" s="119"/>
      <c r="AT32" t="s">
        <v>106</v>
      </c>
      <c r="AV32" t="s">
        <v>141</v>
      </c>
      <c r="AX32" s="120" t="s">
        <v>142</v>
      </c>
      <c r="AY32" s="121"/>
      <c r="AZ32" s="120" t="s">
        <v>143</v>
      </c>
      <c r="BA32" s="121"/>
      <c r="BV32" s="175" t="s">
        <v>5716</v>
      </c>
      <c r="BW32" s="175" t="s">
        <v>5757</v>
      </c>
    </row>
    <row r="33" spans="1:75" ht="15" customHeight="1" thickBot="1">
      <c r="A33" s="7"/>
      <c r="W33" s="9"/>
      <c r="AE33" t="s">
        <v>109</v>
      </c>
      <c r="AG33" s="122" t="str">
        <f>IF(C18&lt;&gt;"",C18&amp;" kJ/mol",IF(NOT($AX$5),"",IF(AX6,AW6&amp;" kJ/mol","Du mangler at indtaste data fra opgaveteksten før ΔH° kan beregnes")))</f>
        <v/>
      </c>
      <c r="AH33" s="123" t="str">
        <f>IF(BA33,AZ33,IF(AY33,AX33,IF(AND(AX6,AX5),IF(AU6&gt;0,"Da ΔH° &gt; 0, vil reaktionen optage varme fra omgivelserne og være endoterm.","Da ΔH° &lt; 0, vil reaktionen afgive varme til omgivelserne og være exoterm."),"")))</f>
        <v>Det fremgår fra Van't Hoffs ligning, at hældningskoefficienten i et Van't Hoff plot er et udtryk for entalpien:
a = -ΔH°/R ⇔
ΔH° = -a∙R
Ved indsættelse af værdier fås:
ΔH° = (-)2390 K∙ 8,314462 J⋅K⁻¹⋅mol⁻¹ ≈ -19,87 kJ/mol
Da ΔH° &lt; 0, vil reaktionen afgive varme til omgivelserne og være exoterm.</v>
      </c>
      <c r="AI33" s="76"/>
      <c r="AJ33" s="76"/>
      <c r="AK33" s="76"/>
      <c r="AL33" s="76"/>
      <c r="AM33" s="118" t="str">
        <f>IF(BA33,AZ33,IF(AY33,AX33,IF(C18&lt;&gt;"","Det giver ikke mening at regne ΔH°, fordi den er allerede oplyst i opgaveteksten","Beregning af ΔH°:
Opslag i databog:
"&amp;AV53&amp;"
Δ"&amp;BA4&amp;" = "&amp;BD25&amp;" - "&amp;BC25&amp;"
I vores tilfælde:
Δ"&amp;BA4&amp;" = "&amp;BD26&amp;" - ("&amp;BC26&amp;")
Ved indsættelse af værdier fås:
Δ"&amp;BA4&amp;" = "&amp;BD27&amp;" - ("&amp;BC27&amp;") 
= "&amp;AG33&amp;"
Altså er Δ"&amp;BA4&amp;" = "&amp;AG33&amp;". "&amp;AH33&amp;"
")))</f>
        <v>Det fremgår fra Van't Hoffs ligning, at hældningskoefficienten i et Van't Hoff plot er et udtryk for entalpien:
a = -ΔH°/R ⇔
ΔH° = -a∙R
Ved indsættelse af værdier fås:
ΔH° = (-)2390 K∙ 8,314462 J⋅K⁻¹⋅mol⁻¹ ≈ -19,87 kJ/mol
Da ΔH° &lt; 0, vil reaktionen afgive varme til omgivelserne og være exoterm.</v>
      </c>
      <c r="AN33" s="119"/>
      <c r="AO33" s="119"/>
      <c r="AP33" s="119"/>
      <c r="AQ33" s="119"/>
      <c r="AT33" t="s">
        <v>106</v>
      </c>
      <c r="AV33" t="s">
        <v>109</v>
      </c>
      <c r="AX33" s="124" t="str">
        <f>"Det fremgår fra Van't Hoffs ligning, at hældningskoefficienten i et Van't Hoff plot er et udtryk for entalpien:
a = -ΔH°/R ⇔
ΔH° = -a∙R
Ved indsættelse af værdier fås:
ΔH° = (-)"&amp;M52&amp;" K∙ 8,314462 J⋅K⁻¹⋅mol⁻¹ ≈ "&amp;AV6&amp;" kJ/mol
"&amp;BC33</f>
        <v>Det fremgår fra Van't Hoffs ligning, at hældningskoefficienten i et Van't Hoff plot er et udtryk for entalpien:
a = -ΔH°/R ⇔
ΔH° = -a∙R
Ved indsættelse af værdier fås:
ΔH° = (-)2390 K∙ 8,314462 J⋅K⁻¹⋅mol⁻¹ ≈ -19,87 kJ/mol
Da ΔH° &lt; 0, vil reaktionen afgive varme til omgivelserne og være exoterm.</v>
      </c>
      <c r="AY33" s="125" t="b">
        <f>IF(M52&lt;&gt;"",TRUE)</f>
        <v>1</v>
      </c>
      <c r="AZ33" s="126" t="str">
        <f>"Det fremgår fra ΔG°=-T∙ΔS°+ΔH°, at skæringen med Y-aksen er et udtryk for entalpien:
b = ΔH°
Ved indsættelse af værdier fås:
ΔH° = "&amp;E52&amp; "kJ/mol ≈ "&amp;AV6&amp;" kJ/mol
"&amp;BC33</f>
        <v>Det fremgår fra ΔG°=-T∙ΔS°+ΔH°, at skæringen med Y-aksen er et udtryk for entalpien:
b = ΔH°
Ved indsættelse af værdier fås:
ΔH° = kJ/mol ≈ -19,87 kJ/mol
Da ΔH° &lt; 0, vil reaktionen afgive varme til omgivelserne og være exoterm.</v>
      </c>
      <c r="BA33" s="125" t="b">
        <f>IF(E52&lt;&gt;"",TRUE)</f>
        <v>0</v>
      </c>
      <c r="BC33" t="str">
        <f>IF(AU6&gt;0,"Da ΔH° &gt; 0, vil reaktionen optage varme fra omgivelserne og være endoterm.","Da ΔH° &lt; 0, vil reaktionen afgive varme til omgivelserne og være exoterm.")</f>
        <v>Da ΔH° &lt; 0, vil reaktionen afgive varme til omgivelserne og være exoterm.</v>
      </c>
      <c r="BV33" s="175" t="s">
        <v>5717</v>
      </c>
      <c r="BW33" s="175" t="s">
        <v>5758</v>
      </c>
    </row>
    <row r="34" spans="1:75" ht="16.5" thickTop="1" thickBot="1">
      <c r="A34" s="7"/>
      <c r="W34" s="9"/>
      <c r="AE34" t="s">
        <v>112</v>
      </c>
      <c r="AG34" s="122" t="str">
        <f>IF(NOT($AX$5),"",IF(AX7,AW7&amp;" J/(mol∙K)","Du mangler at indtaste data fra opgaveteksten før ΔS° kan beregnes"))</f>
        <v/>
      </c>
      <c r="AH34" s="123" t="str">
        <f>IF(BA34,AZ34,IF(AY34,AX34,IF(NOT($AX$5),"",IF(AX7=TRUE,IF(AU7&gt;0,"Da ΔS° &gt; 0, vil reaktionen skabe mere uorden.","Da ΔS° &lt; 0, vil reaktionen skabe mere orden."),""))))</f>
        <v>Det fremgår fra Van't Hoffs ligning, at skæringen med Y-aksen i et Van't Hoff plot er et udtryk for entropien:
b = ΔS°/R ⇔
ΔS° = b∙R
Ved indsættelse af værdier fås:
ΔS° = -2,63∙ 8,314462 J⋅K⁻¹⋅mol⁻¹ ≈ -21,87J/(mol∙K)
Da ΔS° &lt; 0, vil reaktionen skabe mere orden.</v>
      </c>
      <c r="AK34" s="76"/>
      <c r="AL34" s="76"/>
      <c r="AM34" s="118" t="str">
        <f>IF(BA34,AZ34,IF(AY34,AX34,IF(C17&lt;&gt;"","Det giver ikke mening at regne ΔS°, fordi den er allerede oplyst i opgaveteksten","Beregning af ΔS°:
Opslag i databog:
"&amp;AW53&amp;"
Δ"&amp;BA6&amp;" = "&amp;BG25&amp;" - "&amp;BF25&amp;"
I vores tilfælde:
Δ"&amp;BA6&amp;" = "&amp;BG26&amp;" - ("&amp;BF26&amp;")
Ved indsættelse af værdier fås:
Δ"&amp;BA6&amp;" = "&amp;BG27&amp;" - ("&amp;BF27&amp;") 
= "&amp;AG34&amp;"
Altså er Δ"&amp;BA6&amp;" = "&amp;AG34&amp;". "&amp;AH34&amp;"
")))</f>
        <v>Det fremgår fra Van't Hoffs ligning, at skæringen med Y-aksen i et Van't Hoff plot er et udtryk for entropien:
b = ΔS°/R ⇔
ΔS° = b∙R
Ved indsættelse af værdier fås:
ΔS° = -2,63∙ 8,314462 J⋅K⁻¹⋅mol⁻¹ ≈ -21,87J/(mol∙K)
Da ΔS° &lt; 0, vil reaktionen skabe mere orden.</v>
      </c>
      <c r="AN34" s="119"/>
      <c r="AO34" s="119"/>
      <c r="AP34" s="119"/>
      <c r="AQ34" s="119"/>
      <c r="AT34" t="s">
        <v>106</v>
      </c>
      <c r="AV34" t="s">
        <v>112</v>
      </c>
      <c r="AX34" s="127" t="str">
        <f>"Det fremgår fra Van't Hoffs ligning, at skæringen med Y-aksen i et Van't Hoff plot er et udtryk for entropien:
b = ΔS°/R ⇔
ΔS° = b∙R
Ved indsættelse af værdier fås:
ΔS° = "&amp;O52&amp; "∙ 8,314462 J⋅K⁻¹⋅mol⁻¹ ≈ "&amp;AV7 &amp; "J/(mol∙K)
"&amp;BC34</f>
        <v>Det fremgår fra Van't Hoffs ligning, at skæringen med Y-aksen i et Van't Hoff plot er et udtryk for entropien:
b = ΔS°/R ⇔
ΔS° = b∙R
Ved indsættelse af værdier fås:
ΔS° = -2,63∙ 8,314462 J⋅K⁻¹⋅mol⁻¹ ≈ -21,87J/(mol∙K)
Da ΔS° &lt; 0, vil reaktionen skabe mere orden.</v>
      </c>
      <c r="AY34" s="128" t="b">
        <f>IF(O52&lt;&gt;"",TRUE)</f>
        <v>1</v>
      </c>
      <c r="AZ34" s="127" t="str">
        <f>"Det fremgår fra ΔG°=-T∙ΔS°+ΔH°, at hældningskoefficienten  i et ΔG°(T)-plot er et udtryk for entropien:
a = -ΔS° ⇔
ΔS° = -a
Ved indsættelse af værdier fås:
ΔS° = (-)"&amp;C52&amp; "(kJ/mol)/K ≈ "&amp;AV7&amp;" J/(K∙mol)
"&amp;BC34</f>
        <v>Det fremgår fra ΔG°=-T∙ΔS°+ΔH°, at hældningskoefficienten  i et ΔG°(T)-plot er et udtryk for entropien:
a = -ΔS° ⇔
ΔS° = -a
Ved indsættelse af værdier fås:
ΔS° = (-)(kJ/mol)/K ≈ -21,87 J/(K∙mol)
Da ΔS° &lt; 0, vil reaktionen skabe mere orden.</v>
      </c>
      <c r="BA34" s="128" t="b">
        <f>IF(C52&lt;&gt;"",TRUE)</f>
        <v>0</v>
      </c>
      <c r="BC34" t="str">
        <f>IF(AU7&gt;0,"Da ΔS° &gt; 0, vil reaktionen skabe mere uorden.","Da ΔS° &lt; 0, vil reaktionen skabe mere orden.")</f>
        <v>Da ΔS° &lt; 0, vil reaktionen skabe mere orden.</v>
      </c>
      <c r="BV34" s="175" t="s">
        <v>5718</v>
      </c>
      <c r="BW34" s="175" t="s">
        <v>5759</v>
      </c>
    </row>
    <row r="35" spans="1:75" ht="16.5" thickTop="1" thickBot="1">
      <c r="A35" s="7"/>
      <c r="W35" s="9"/>
      <c r="AE35" t="s">
        <v>115</v>
      </c>
      <c r="AG35" s="122" t="str">
        <f>IFERROR(IF(AX8,AW8&amp;" kJ/mol","Indtastning mangler"),"")</f>
        <v>0,000 kJ/mol</v>
      </c>
      <c r="AH35" s="123" t="str">
        <f>IF(AG35="","",IF(AX8=TRUE,IF(AU8&gt;0,"Da ΔG°(298 K) &gt; 0, forløber reaktionen ikke spontant ved 298 K og standardbetingelser.","Da ΔG°(298 K) &lt; 0, forløber reaktionen spontant ved 298 K og standardbetingelser."),""))</f>
        <v>Da ΔG°(298 K) &lt; 0, forløber reaktionen spontant ved 298 K og standardbetingelser.</v>
      </c>
      <c r="AM35" s="118" t="str">
        <f>IF(AG35="","","Beregning af ΔG°,298 K:
Opslag i databog:
"&amp;AX53&amp;"
Δ"&amp;BA8&amp;" = "&amp;BJ25&amp;" - "&amp;BI25&amp;"
I vores tilfælde:
Δ"&amp;BA8&amp;" = "&amp;BJ26&amp;" - ("&amp;BI26&amp;")
Ved indsættelse af værdier fås:
Δ"&amp;BA8&amp;" = "&amp;BJ27&amp;" - ("&amp;BI27&amp;") 
= "&amp;AG35&amp;"
Altså er Δ"&amp;BA8&amp;" = "&amp;AG35&amp;". "&amp;AH35&amp;"
")</f>
        <v xml:space="preserve">Beregning af ΔG°,298 K:
Opslag i databog:
ΔG° = ΣG°ₚ - ΣG°ᵣ
I vores tilfælde:
ΔG° =  - ()
Ved indsættelse af værdier fås:
ΔG° =  kJ/mol - ( kJ/mol) 
= 0,000 kJ/mol
Altså er ΔG° = 0,000 kJ/mol. Da ΔG°(298 K) &lt; 0, forløber reaktionen spontant ved 298 K og standardbetingelser.
</v>
      </c>
      <c r="AN35" s="119"/>
      <c r="AO35" s="119"/>
      <c r="AP35" s="119"/>
      <c r="AQ35" s="119"/>
      <c r="AT35" t="s">
        <v>106</v>
      </c>
      <c r="BV35" s="175" t="s">
        <v>5719</v>
      </c>
      <c r="BW35" s="175" t="s">
        <v>5760</v>
      </c>
    </row>
    <row r="36" spans="1:75" ht="16.5" thickTop="1" thickBot="1">
      <c r="A36" s="7"/>
      <c r="W36" s="9"/>
      <c r="AE36" t="str">
        <f>"ΔG°(" &amp;AV4&amp;" K) - via ΔS° og ΔH°"</f>
        <v>ΔG°(673,15 K) - via ΔS° og ΔH°</v>
      </c>
      <c r="AG36" s="129" t="str">
        <f>IF(AND(AX6,AX7),AW11&amp;" kJ/mol","")</f>
        <v>-5,152 kJ/mol</v>
      </c>
      <c r="AH36" s="123" t="str">
        <f>IF(AG36="","",IF(AU11&gt;0,"Da ΔG°("&amp;AV4&amp;" K) &gt; 0, vil reaktionen ikke forløbe spontant ved "&amp;AV4&amp;" K og standardbetingelser.","Da ΔG°("&amp;AV4&amp;" K) &lt; 0, vil reaktionen forløbe spontant ved "&amp;AV4&amp;" K og standardbetingelser."))</f>
        <v>Da ΔG°(673,15 K) &lt; 0, vil reaktionen forløbe spontant ved 673,15 K og standardbetingelser.</v>
      </c>
      <c r="AM36" s="118" t="str">
        <f>IF(AG36="","",IF(AND(AX6=TRUE,AX7=TRUE),"Beregning af ΔG° ved "&amp;AV4&amp;" K
ΔG°(T) = ΔH° - T ∙ ΔS°
Ved indsættelse fås herved:
ΔG°("&amp;AV4&amp;" K) = "&amp;AG33&amp;" + "&amp;AV4&amp;" K ∙ "&amp;IF(AW7&lt;0,"(","")&amp;AW7&amp; IF(AW7&lt;0,")","")&amp;" J/(mol∙K)"&amp;" = "&amp;AG36&amp;"
Altså er ΔG°("&amp;AV4&amp;" K) = "&amp;AG36&amp;". "&amp;AH36&amp;"
"))</f>
        <v xml:space="preserve">Beregning af ΔG° ved 673,15 K
ΔG°(T) = ΔH° - T ∙ ΔS°
Ved indsættelse fås herved:
ΔG°(673,15 K) =  + 673,15 K ∙ -21,87 J/(mol∙K) = -5,152 kJ/mol
Altså er ΔG°(673,15 K) = -5,152 kJ/mol. Da ΔG°(673,15 K) &lt; 0, vil reaktionen forløbe spontant ved 673,15 K og standardbetingelser.
</v>
      </c>
      <c r="AN36" s="119"/>
      <c r="AO36" s="119"/>
      <c r="AP36" s="119"/>
      <c r="AQ36" s="119"/>
      <c r="AT36" t="s">
        <v>106</v>
      </c>
      <c r="AV36" s="229" t="s">
        <v>5821</v>
      </c>
      <c r="BV36" s="175" t="s">
        <v>5720</v>
      </c>
      <c r="BW36" s="175" t="s">
        <v>5761</v>
      </c>
    </row>
    <row r="37" spans="1:75" ht="16.5" thickTop="1" thickBot="1">
      <c r="A37" s="7"/>
      <c r="W37" s="9"/>
      <c r="AE37" t="str">
        <f>IF(AND(AX8&lt;&gt;TRUE,AV4=""),"",IF(AV4&lt;&gt;"","Beregning af K("&amp;AV4&amp;" K)","Beregning af K (298 K)"))</f>
        <v>Beregning af K(673,15 K)</v>
      </c>
      <c r="AG37" s="130" t="str">
        <f>IF(AND(AW10="",AW9=""),AU10,IF(AX10,IF(AV4&lt;&gt;"",IFERROR(AW10&amp;" "&amp;IFERROR(AW19,AU19),"Ligevægtskonstanten er et vanvittigt tal - altså mere end 10^300 eller mindre end 10^-300"),AW9)))</f>
        <v xml:space="preserve">2,510 </v>
      </c>
      <c r="AH37" t="str">
        <f>IF(AG37&lt;&gt;"",IF(AG37&lt;1,"Når K er mindre end 1, vil reaktionen forløbe imod venstre ved standardbetingelser (hvis alle koncentrationer er 1 M og alle tryk er 1 bar) og T = "&amp;IF(AU4 &lt;&gt;"",AU4&amp;" K.","298 K."),"Når K er større end 1, vil reaktionen forløbe imod højre ved standardbetingelser (hvis alle koncentrationer er 1 M og alle tryk er 1 bar) og T = "&amp;IF(AU4 &lt;&gt;"",AU4&amp;" K.","298 K.")),"")</f>
        <v>Når K er større end 1, vil reaktionen forløbe imod højre ved standardbetingelser (hvis alle koncentrationer er 1 M og alle tryk er 1 bar) og T = 673,15 K.</v>
      </c>
      <c r="AM37" s="118" t="str">
        <f>IFERROR(IF(C16&lt;&gt;"","Det giver ikke mening at regne K, fordi den er allerede oplyst i opgaveteksten",IF(AX10,IF(AV4&lt;&gt;"","Beregning af K ved temperaturen "&amp;AV4&amp;" K:","Beregning af K ved temperaturen 298 K:")&amp;"
ln(K) = -ΔG°/(R∙T)
ved indsættelse fås:
ln(K) = -("&amp;IF(AV4&lt;&gt;"",AW11,AW8)&amp;"∙1000 J/mol)/(8,3144 J⋅K⁻¹⋅mol⁻¹ ∙ "&amp;IF(AV4&lt;&gt;"",AV4&amp;" K","298 K ")&amp;") = "&amp;IF(AV4&lt;&gt;"",AW16,AW15)&amp;"
Herfra kan værdien for K isoleres:
K = e^("&amp;IF(AV4="",AW15,AW16)&amp;") = "&amp;IF(AV4&lt;&gt;"",AW10,AW9)&amp;"
Altså er værdien for ligevægtskonstanten lig med "&amp;IF(AV4&lt;&gt;"",AW10,AW9)&amp;". "&amp;AH39&amp;AH37&amp;"
","")),"Ligevægtskonstanten kan ikke beregnes - måske fordi tallet er større end 10^300 eller mindre end 10^-300")</f>
        <v xml:space="preserve">Beregning af K ved temperaturen 673,15 K:
ln(K) = -ΔG°/(R∙T)
ved indsættelse fås:
ln(K) = -(-5,152∙1000 J/mol)/(8,3144 J⋅K⁻¹⋅mol⁻¹ ∙ 673,15 K) = 0,9205
Herfra kan værdien for K isoleres:
K = e^(0,9205) = 2,510
Altså er værdien for ligevægtskonstanten lig med 2,510. Når K er større end 1, vil reaktionen forløbe imod højre ved standardbetingelser (hvis alle koncentrationer er 1 M og alle tryk er 1 bar) og T = 673,15 K.
</v>
      </c>
      <c r="AN37" s="119"/>
      <c r="AO37" s="119"/>
      <c r="AP37" s="119"/>
      <c r="AQ37" s="119"/>
      <c r="AT37" t="s">
        <v>106</v>
      </c>
      <c r="AV37" t="s">
        <v>31</v>
      </c>
      <c r="AW37" t="s">
        <v>50</v>
      </c>
      <c r="AX37" t="s">
        <v>61</v>
      </c>
      <c r="BV37" s="175" t="s">
        <v>5721</v>
      </c>
      <c r="BW37" s="175" t="s">
        <v>5762</v>
      </c>
    </row>
    <row r="38" spans="1:75" ht="15" customHeight="1" thickTop="1" thickBot="1">
      <c r="A38" s="7"/>
      <c r="W38" s="9"/>
      <c r="AE38" t="s">
        <v>144</v>
      </c>
      <c r="AG38" s="131" t="str">
        <f>IF(NOT($AX$12),"",AW12&amp;" K")</f>
        <v>908,7 K</v>
      </c>
      <c r="AH38" t="str">
        <f>IF(AG38="","",IF(AND(AV12&lt;0,AV7&gt;0),"Det er vist, at reaktionen forløber spontant, når temperaturen er mindst "&amp;AG38&amp;", og derfor vil reaktionen altid forløbe spontant ved standardbetingelser. Det skyldes at ΔH° &lt; 0 og ΔS° &gt; 0.",IF(AND(AV12&lt;0,AV7&lt;0),"Vi ser, at reaktionen aldrig forløber spontant ved positive kelvin-temperaturer ved standardbetingelser, eftersom ΔS° &lt; 0 og ΔH° &gt; 0.",IF(AV7&gt;0,"Vi ser af ΔS°&gt; 0. Reaktionen er entropidreven, så når T &gt; "&amp;AV12&amp;" K, forløber reaktionen mod højre ved std-tilstande.","Vi ser af ΔS°&lt; 0, og reaktionen er entalpidreven, så når T &lt; "&amp;AV12&amp;" K, forløber reaktionen mod højre ved std-tilstande."))))</f>
        <v>Vi ser af ΔS°&gt; 0. Reaktionen er entropidreven, så når T &gt; 908,7 K, forløber reaktionen mod højre ved std-tilstande.</v>
      </c>
      <c r="AM38" s="132" t="str">
        <f>IF(AG38="","",IF(AW7&lt;0,"Beregning af den maksimale temperatur, hvormed reaktionen kan forløbe:","Beregning af den mindste temperatur, hvormed reaktionen kan forløbe:")&amp;"
ΔG° = ΔH° - T ∙ ΔS°
Hvis reaktionen skal forløbe ved std-betingelser gælder, at ΔG° &lt; 0. Herved fås:
0 &gt; ΔH° - T ∙ ΔS°  ⇔
T∙ΔS° &gt; ΔH°
"&amp;IF(AW7&lt;0,"Vi deler nu med ΔS° på begge sider, men eftersom ΔS° er negativ,vendes uligheden, når der ganges med noget negativt på begge sider.
T &lt; ΔH°/ΔS°
Ved indsættelse fås:
T &lt; ","Vi deler nu med ΔS° på begge sider, og eftersom ΔS° er positiv skal uligheden ikke vendes.
T &gt; ΔH°/ΔS°
Ved indsættelse fås:
T &gt;")&amp;"("&amp;AW6&amp;"∙1000 J∙mol⁻¹)/("&amp;AW7&amp;" J∙mol⁻¹∙K⁻¹) = "&amp;AG38&amp;" 
"&amp;AH38&amp;"
")</f>
        <v xml:space="preserve">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&gt;(-19,87∙1000 J∙mol⁻¹)/(-21,87 J∙mol⁻¹∙K⁻¹) = 908,7 K 
Vi ser af ΔS°&gt; 0. Reaktionen er entropidreven, så når T &gt; 908,7 K, forløber reaktionen mod højre ved std-tilstande.
</v>
      </c>
      <c r="AN38" s="133"/>
      <c r="AO38" s="133"/>
      <c r="AP38" s="133"/>
      <c r="AQ38" s="133"/>
      <c r="AT38" t="s">
        <v>106</v>
      </c>
      <c r="AV38" s="120" t="str">
        <f>IF(AP5&lt;&gt;"",AV$37&amp;"("&amp;IFERROR($AN5,$AO5)&amp;") = "&amp;AP5&amp;" kJ/mol","")</f>
        <v/>
      </c>
      <c r="AW38" s="120" t="str">
        <f>IF(AQ5&lt;&gt;"",AW$37&amp;"("&amp;IFERROR($AN5,$AO5)&amp;") = "&amp;AQ5&amp;" kJ/mol","")</f>
        <v/>
      </c>
      <c r="AX38" s="120" t="str">
        <f>IF(AR5&lt;&gt;"",AX$37&amp;"("&amp;IFERROR($AN5,$AO5)&amp;") = "&amp;AR5&amp;" kJ/mol","")</f>
        <v/>
      </c>
      <c r="BV38" s="175" t="s">
        <v>5722</v>
      </c>
      <c r="BW38" s="175" t="s">
        <v>5763</v>
      </c>
    </row>
    <row r="39" spans="1:75" ht="16.5" thickTop="1" thickBot="1">
      <c r="A39" s="7"/>
      <c r="W39" s="9"/>
      <c r="AE39" t="s">
        <v>145</v>
      </c>
      <c r="AG39" s="134" t="str">
        <f>IF(NOT($AX$5),"",BP26)</f>
        <v/>
      </c>
      <c r="AH39" t="str">
        <f>IF(NOT($AX$5),"","Enheden for reaktionsbrøken bliver "&amp;IF(AU19="","enhedsløs",IFERROR(AW19,AU19))&amp;", hvilket ses ud fra reaktionsskemaet. ")</f>
        <v/>
      </c>
      <c r="AK39" s="76"/>
      <c r="AL39" s="76"/>
      <c r="AM39" s="135" t="str">
        <f>BO26&amp;IFERROR(BP29,BP26)</f>
        <v xml:space="preserve">Y = </v>
      </c>
      <c r="AN39" s="136"/>
      <c r="AO39" s="136"/>
      <c r="AP39" s="136"/>
      <c r="AQ39" s="136"/>
      <c r="AT39" t="s">
        <v>106</v>
      </c>
      <c r="AV39" s="120" t="str">
        <f t="shared" ref="AV39:AV50" si="18">IF(AP6&lt;&gt;"",AV$37&amp;"("&amp;IFERROR($AN6,$AO6)&amp;") = "&amp;AP6&amp;" kJ/mol","")</f>
        <v/>
      </c>
      <c r="AW39" s="120" t="str">
        <f t="shared" ref="AW39:AW50" si="19">IF(AQ6&lt;&gt;"",AW$37&amp;"("&amp;IFERROR($AN6,$AO6)&amp;") = "&amp;AQ6&amp;" kJ/mol","")</f>
        <v/>
      </c>
      <c r="AX39" s="120" t="str">
        <f t="shared" ref="AX39:AX49" si="20">IF(AR6&lt;&gt;"",AX$37&amp;"("&amp;IFERROR($AN6,$AO6)&amp;") = "&amp;AR6&amp;" kJ/mol","")</f>
        <v/>
      </c>
      <c r="BV39" s="175" t="s">
        <v>5723</v>
      </c>
      <c r="BW39" s="175" t="s">
        <v>5764</v>
      </c>
    </row>
    <row r="40" spans="1:75" ht="16.5" thickTop="1" thickBot="1">
      <c r="A40" s="7"/>
      <c r="W40" s="9"/>
      <c r="AE40" t="s">
        <v>135</v>
      </c>
      <c r="AG40" t="str">
        <f>IF(NOT($AX$5),"",IF(AX13,AW13&amp;" "&amp;AU19,""))</f>
        <v/>
      </c>
      <c r="AH40" t="str">
        <f>IF(AG40="","",IF(AU10="",IF(AU13&lt;AU9,"I vores tilfælde er Y &lt; K ved 25 °C, og vi forventer at reaktionen forløber mod højre for at opnå ligevægt.","I vores tilfælde er Y &gt; K ved 25 °C, og vi forventer at reaktionen forløber mod venstre for at opnå ligevægt."),IF(AU13&lt;AU10,"I vores tilfælde er Y &lt; K, og vi forventer at reaktionen forløber mod højre for at opnå ligevægt.","I vores tilfælde er Y &gt; K, og vi forventer at reaktionen forløber mod venstre for at opnå ligevægt.")))</f>
        <v/>
      </c>
      <c r="AM40" s="137" t="str">
        <f>IF(AX13,"Værdien for reaktionsbrøken, Y, findes ved at indsætte værdierne. Herved fås:
Y = "&amp;BP27&amp;" = "&amp;AW13&amp;" "&amp;AU19&amp;"
Altså er Y bestemt til at være "&amp;AW13&amp;" "&amp;AU19&amp;". "&amp;AH40&amp;"
","")</f>
        <v xml:space="preserve">Værdien for reaktionsbrøken, Y, findes ved at indsætte værdierne. Herved fås:
Y =  = 1,000 
Altså er Y bestemt til at være 1,000 . 
</v>
      </c>
      <c r="AN40" s="138"/>
      <c r="AO40" s="138"/>
      <c r="AP40" s="138"/>
      <c r="AQ40" s="138"/>
      <c r="AT40" t="s">
        <v>106</v>
      </c>
      <c r="AV40" s="120" t="str">
        <f t="shared" si="18"/>
        <v/>
      </c>
      <c r="AW40" s="120" t="str">
        <f t="shared" si="19"/>
        <v/>
      </c>
      <c r="AX40" s="120" t="str">
        <f t="shared" si="20"/>
        <v/>
      </c>
      <c r="BV40" s="175" t="s">
        <v>5724</v>
      </c>
      <c r="BW40" s="175" t="s">
        <v>5765</v>
      </c>
    </row>
    <row r="41" spans="1:75" ht="15.75" thickBot="1">
      <c r="A41" s="7"/>
      <c r="W41" s="9"/>
      <c r="AE41" t="s">
        <v>138</v>
      </c>
      <c r="AG41" t="str">
        <f>IF(NOT($AX$5),"",IF(AU14="","",AW14&amp;" kJ/mol"))</f>
        <v/>
      </c>
      <c r="AH41" t="str">
        <f>IF(AU14="","",IF(AU14&lt;0,"Når ΔG er mindre end 0, vil reaktionen ikke være i ligevægt, og vil forløbe spontant mod højre for at opnå ligevægt.","Når ΔG er større end 0, vil reaktionen ikke være i ligevægt, og vil forløbe spontant mod venstre for at opnå ligevægt."))</f>
        <v>Når ΔG er mindre end 0, vil reaktionen ikke være i ligevægt, og vil forløbe spontant mod højre for at opnå ligevægt.</v>
      </c>
      <c r="AM41" s="118" t="str">
        <f>IF(NOT(AX5),"",IF(AW14="","","Beregning af ΔG ved "&amp;AU4&amp;" K:
ΔG = ΔG° + R∙T∙ln(Y)
Ved indsættelse fås:
ΔG = "&amp;AW11&amp;" kJ/mol + 0,008314462 kJ⋅K⁻¹⋅mol⁻¹∙ "&amp;AU4&amp;" K∙ln("&amp;AW13&amp;") = "&amp;AW14&amp;" kJ/mol
Altså er ΔG bestemt til "&amp;AG41&amp;". "&amp;AH41))</f>
        <v/>
      </c>
      <c r="AN41" s="119"/>
      <c r="AO41" s="119"/>
      <c r="AP41" s="119"/>
      <c r="AQ41" s="119"/>
      <c r="AT41" t="s">
        <v>106</v>
      </c>
      <c r="AV41" s="120" t="str">
        <f t="shared" si="18"/>
        <v/>
      </c>
      <c r="AW41" s="120" t="str">
        <f t="shared" si="19"/>
        <v/>
      </c>
      <c r="AX41" s="120" t="str">
        <f t="shared" si="20"/>
        <v/>
      </c>
      <c r="BB41" s="6"/>
      <c r="BC41" s="6"/>
      <c r="BV41" s="175" t="s">
        <v>5725</v>
      </c>
      <c r="BW41" s="175" t="s">
        <v>5766</v>
      </c>
    </row>
    <row r="42" spans="1:75">
      <c r="A42" s="7"/>
      <c r="W42" s="9"/>
      <c r="AG42" s="76"/>
      <c r="AK42" s="76"/>
      <c r="AL42" s="76"/>
      <c r="AM42" s="76"/>
      <c r="AN42" s="76"/>
      <c r="AO42" s="76"/>
      <c r="AP42" s="76"/>
      <c r="AQ42" s="76"/>
      <c r="AV42" s="120" t="str">
        <f t="shared" si="18"/>
        <v/>
      </c>
      <c r="AW42" s="120" t="str">
        <f t="shared" si="19"/>
        <v/>
      </c>
      <c r="AX42" s="120" t="str">
        <f t="shared" si="20"/>
        <v/>
      </c>
      <c r="BV42" s="175" t="s">
        <v>5726</v>
      </c>
      <c r="BW42" s="175" t="s">
        <v>5767</v>
      </c>
    </row>
    <row r="43" spans="1:75">
      <c r="A43" s="7"/>
      <c r="W43" s="9"/>
      <c r="AG43" s="76"/>
      <c r="AK43" s="76"/>
      <c r="AL43" s="76"/>
      <c r="AV43" s="120" t="str">
        <f t="shared" si="18"/>
        <v/>
      </c>
      <c r="AW43" s="120" t="str">
        <f t="shared" si="19"/>
        <v/>
      </c>
      <c r="AX43" s="120" t="str">
        <f t="shared" si="20"/>
        <v/>
      </c>
      <c r="BV43" s="175" t="s">
        <v>5727</v>
      </c>
      <c r="BW43" s="175" t="s">
        <v>5768</v>
      </c>
    </row>
    <row r="44" spans="1:75">
      <c r="A44" s="7"/>
      <c r="W44" s="9"/>
      <c r="AV44" s="120" t="str">
        <f t="shared" si="18"/>
        <v/>
      </c>
      <c r="AW44" s="120" t="str">
        <f t="shared" si="19"/>
        <v/>
      </c>
      <c r="AX44" s="120" t="str">
        <f t="shared" si="20"/>
        <v/>
      </c>
      <c r="BV44" s="175" t="s">
        <v>5728</v>
      </c>
      <c r="BW44" s="175" t="s">
        <v>5769</v>
      </c>
    </row>
    <row r="45" spans="1:75">
      <c r="A45" s="7"/>
      <c r="W45" s="9"/>
      <c r="AV45" s="120" t="str">
        <f t="shared" si="18"/>
        <v/>
      </c>
      <c r="AW45" s="120" t="str">
        <f t="shared" si="19"/>
        <v/>
      </c>
      <c r="AX45" s="120" t="str">
        <f t="shared" si="20"/>
        <v/>
      </c>
      <c r="BV45" s="175" t="s">
        <v>5729</v>
      </c>
      <c r="BW45" s="175" t="s">
        <v>5770</v>
      </c>
    </row>
    <row r="46" spans="1:75">
      <c r="A46" s="7"/>
      <c r="B46" t="s">
        <v>5847</v>
      </c>
      <c r="C46" t="str">
        <f>IF(AND(AW7&lt;&gt;"",AW6&lt;&gt;""),"ΔG° = "&amp;AW7/-1000&amp;" kJ/(mol∙K) ∙ T"&amp;IF(AW6*1&gt;0," + "&amp;AW6&amp;" kJ/mol","")&amp;IF(AW6*1&lt;0," - "&amp;AW6*-1&amp;" kJ/mol",""),"")</f>
        <v>ΔG° = 0,02187 kJ/(mol∙K) ∙ T - 19,87 kJ/mol</v>
      </c>
      <c r="K46" t="s">
        <v>5847</v>
      </c>
      <c r="L46" t="str">
        <f>IF(AND(AW17&lt;&gt;"",AW18&lt;&gt;""),"ln(K) = "&amp;AW17&amp;" K ∙ 1/T"&amp;IF(AW18*1&gt;0," + "&amp;AW18,"")&amp;IF(AW18*1&lt;0," - "&amp;AW18*-1,""),"")</f>
        <v>ln(K) = 2390 K ∙ 1/T - 2,63</v>
      </c>
      <c r="W46" s="9"/>
      <c r="AV46" s="120" t="str">
        <f t="shared" si="18"/>
        <v/>
      </c>
      <c r="AW46" s="120" t="str">
        <f t="shared" si="19"/>
        <v/>
      </c>
      <c r="AX46" s="120" t="str">
        <f t="shared" si="20"/>
        <v/>
      </c>
      <c r="BV46" s="175" t="s">
        <v>5730</v>
      </c>
      <c r="BW46" s="175" t="s">
        <v>5771</v>
      </c>
    </row>
    <row r="47" spans="1:75">
      <c r="A47" s="7"/>
      <c r="W47" s="9"/>
      <c r="AV47" s="120" t="str">
        <f t="shared" si="18"/>
        <v/>
      </c>
      <c r="AW47" s="120" t="str">
        <f t="shared" si="19"/>
        <v/>
      </c>
      <c r="AX47" s="120" t="str">
        <f t="shared" si="20"/>
        <v/>
      </c>
      <c r="BV47" s="175" t="s">
        <v>5731</v>
      </c>
      <c r="BW47" s="175" t="s">
        <v>5772</v>
      </c>
    </row>
    <row r="48" spans="1:75">
      <c r="A48" s="139"/>
      <c r="B48" s="140"/>
      <c r="C48" s="140"/>
      <c r="D48" s="140"/>
      <c r="E48" s="140"/>
      <c r="F48" s="140"/>
      <c r="G48" s="140"/>
      <c r="H48" s="140"/>
      <c r="I48" s="140"/>
      <c r="J48" s="140"/>
      <c r="K48" s="140"/>
      <c r="L48" s="140"/>
      <c r="M48" s="140"/>
      <c r="N48" s="140"/>
      <c r="O48" s="140"/>
      <c r="P48" s="140"/>
      <c r="Q48" s="140"/>
      <c r="R48" s="140"/>
      <c r="S48" s="140"/>
      <c r="T48" s="140"/>
      <c r="U48" s="140"/>
      <c r="V48" s="140"/>
      <c r="W48" s="141"/>
      <c r="AF48" t="str">
        <f>IF(I9="","",I9)</f>
        <v/>
      </c>
      <c r="AV48" s="120" t="str">
        <f t="shared" si="18"/>
        <v/>
      </c>
      <c r="AW48" s="120" t="str">
        <f t="shared" si="19"/>
        <v/>
      </c>
      <c r="AX48" s="120" t="str">
        <f t="shared" si="20"/>
        <v/>
      </c>
      <c r="BV48" s="175" t="s">
        <v>5732</v>
      </c>
      <c r="BW48" s="175" t="s">
        <v>5773</v>
      </c>
    </row>
    <row r="49" spans="1:75">
      <c r="A49" s="7"/>
      <c r="W49" s="9"/>
      <c r="AE49" s="142"/>
      <c r="AF49" t="str">
        <f>IF(I10="","",I10)</f>
        <v/>
      </c>
      <c r="AV49" s="120" t="str">
        <f t="shared" si="18"/>
        <v/>
      </c>
      <c r="AW49" s="120" t="str">
        <f t="shared" si="19"/>
        <v/>
      </c>
      <c r="AX49" s="120" t="str">
        <f t="shared" si="20"/>
        <v/>
      </c>
      <c r="BV49" s="175" t="s">
        <v>5733</v>
      </c>
      <c r="BW49" s="175" t="s">
        <v>5774</v>
      </c>
    </row>
    <row r="50" spans="1:75">
      <c r="A50" s="7"/>
      <c r="C50" s="275" t="s">
        <v>5641</v>
      </c>
      <c r="D50" s="276"/>
      <c r="E50" s="276"/>
      <c r="F50" s="277"/>
      <c r="M50" s="275" t="s">
        <v>146</v>
      </c>
      <c r="N50" s="276"/>
      <c r="O50" s="276"/>
      <c r="P50" s="277"/>
      <c r="W50" s="9"/>
      <c r="AE50" s="142"/>
      <c r="AF50" t="str">
        <f>IF(I11="","",I11)</f>
        <v/>
      </c>
      <c r="AV50" s="120" t="str">
        <f t="shared" si="18"/>
        <v/>
      </c>
      <c r="AW50" s="120" t="str">
        <f t="shared" si="19"/>
        <v/>
      </c>
      <c r="AX50" s="120" t="str">
        <f t="shared" ref="AX50" si="21">IF(AR17&lt;&gt;"",AX$37&amp;"("&amp;$AN17&amp;") = "&amp;AR17&amp;" kJ/mol","")</f>
        <v/>
      </c>
    </row>
    <row r="51" spans="1:75">
      <c r="A51" s="7"/>
      <c r="C51" s="278" t="s">
        <v>147</v>
      </c>
      <c r="D51" s="278"/>
      <c r="E51" s="278" t="s">
        <v>148</v>
      </c>
      <c r="F51" s="278"/>
      <c r="M51" s="278" t="s">
        <v>147</v>
      </c>
      <c r="N51" s="278"/>
      <c r="O51" s="278" t="s">
        <v>148</v>
      </c>
      <c r="P51" s="278"/>
      <c r="W51" s="9"/>
    </row>
    <row r="52" spans="1:75">
      <c r="A52" s="7"/>
      <c r="C52" s="272"/>
      <c r="D52" s="273"/>
      <c r="E52" s="274"/>
      <c r="F52" s="274"/>
      <c r="M52" s="274">
        <v>2390</v>
      </c>
      <c r="N52" s="274"/>
      <c r="O52" s="274">
        <v>-2.63</v>
      </c>
      <c r="P52" s="274"/>
      <c r="W52" s="9"/>
    </row>
    <row r="53" spans="1:75" ht="28.5">
      <c r="A53" s="7"/>
      <c r="C53" s="143" t="str">
        <f>IF(COUNTA(C52,E52,M52,O52)&gt;2,"Du skal kun indsætte data fra et plot ad gangen","")</f>
        <v/>
      </c>
      <c r="W53" s="9"/>
      <c r="AV53" t="str">
        <f>_xlfn.TEXTJOIN(CHAR(10), TRUE, AV38:AV50)</f>
        <v/>
      </c>
      <c r="AW53" t="str">
        <f>_xlfn.TEXTJOIN(CHAR(10), TRUE, AW38:AW50)</f>
        <v/>
      </c>
      <c r="AX53" t="str">
        <f>_xlfn.TEXTJOIN(CHAR(10), TRUE, AX38:AX50)</f>
        <v/>
      </c>
    </row>
    <row r="54" spans="1:75" ht="15.75" thickBot="1">
      <c r="A54" s="71"/>
      <c r="B54" s="68"/>
      <c r="C54" s="68"/>
      <c r="D54" s="68"/>
      <c r="E54" s="68"/>
      <c r="F54" s="68"/>
      <c r="G54" s="68"/>
      <c r="H54" s="68"/>
      <c r="I54" s="68"/>
      <c r="J54" s="68"/>
      <c r="K54" s="68"/>
      <c r="L54" s="68"/>
      <c r="M54" s="68"/>
      <c r="N54" s="68"/>
      <c r="O54" s="68"/>
      <c r="P54" s="68"/>
      <c r="Q54" s="68"/>
      <c r="R54" s="68"/>
      <c r="S54" s="68"/>
      <c r="T54" s="68"/>
      <c r="U54" s="68"/>
      <c r="V54" s="68"/>
      <c r="W54" s="74"/>
    </row>
    <row r="55" spans="1:75" ht="20.25" customHeight="1">
      <c r="A55" s="7"/>
    </row>
    <row r="56" spans="1:75">
      <c r="AG56" s="6"/>
    </row>
    <row r="57" spans="1:75">
      <c r="AG57" s="6"/>
    </row>
    <row r="59" spans="1:75">
      <c r="AG59" s="6"/>
    </row>
    <row r="60" spans="1:75">
      <c r="AG60" s="6"/>
    </row>
    <row r="61" spans="1:75">
      <c r="AG61" s="6"/>
    </row>
    <row r="62" spans="1:75">
      <c r="AG62" s="6"/>
    </row>
    <row r="66" spans="32:55">
      <c r="AH66" t="s">
        <v>149</v>
      </c>
      <c r="AI66" t="s">
        <v>150</v>
      </c>
      <c r="AJ66" t="s">
        <v>151</v>
      </c>
      <c r="AK66" t="s">
        <v>152</v>
      </c>
      <c r="AL66" t="s">
        <v>153</v>
      </c>
      <c r="AS66" t="s">
        <v>40</v>
      </c>
      <c r="AX66" t="s">
        <v>154</v>
      </c>
      <c r="AY66" t="s">
        <v>155</v>
      </c>
      <c r="AZ66" t="s">
        <v>156</v>
      </c>
      <c r="BB66" t="s">
        <v>157</v>
      </c>
    </row>
    <row r="67" spans="32:55">
      <c r="AF67">
        <f t="shared" ref="AF67:AF130" si="22">IF(OR(AG67="",COUNTIF(AG:AG, AG67) = 1),0, "1")</f>
        <v>0</v>
      </c>
      <c r="AG67" t="str">
        <f t="shared" ref="AG67:AG130" si="23">IF(AS67 &lt;&gt; "",AH67&amp;" ("&amp;AS67 &amp;")","")</f>
        <v>Al (s)</v>
      </c>
      <c r="AH67" t="s">
        <v>158</v>
      </c>
      <c r="AI67" t="s">
        <v>158</v>
      </c>
      <c r="AJ67" t="s">
        <v>158</v>
      </c>
      <c r="AL67" t="s">
        <v>159</v>
      </c>
      <c r="AS67" t="s">
        <v>160</v>
      </c>
      <c r="AX67" s="6">
        <v>26.98</v>
      </c>
      <c r="AY67" s="6" t="s">
        <v>161</v>
      </c>
      <c r="AZ67" s="6">
        <v>28.3</v>
      </c>
      <c r="BA67" s="6"/>
      <c r="BB67" s="6">
        <v>0</v>
      </c>
    </row>
    <row r="68" spans="32:55">
      <c r="AF68">
        <f t="shared" si="22"/>
        <v>0</v>
      </c>
      <c r="AG68" t="str">
        <f t="shared" si="23"/>
        <v>Al (g)</v>
      </c>
      <c r="AH68" t="s">
        <v>158</v>
      </c>
      <c r="AI68" t="s">
        <v>158</v>
      </c>
      <c r="AJ68" t="s">
        <v>158</v>
      </c>
      <c r="AL68" t="s">
        <v>159</v>
      </c>
      <c r="AS68" t="s">
        <v>47</v>
      </c>
      <c r="AX68" s="6">
        <v>26.98</v>
      </c>
      <c r="AY68" s="6" t="s">
        <v>162</v>
      </c>
      <c r="AZ68" s="6">
        <v>164.55</v>
      </c>
      <c r="BA68" s="6"/>
      <c r="BB68" s="6">
        <v>285.8</v>
      </c>
    </row>
    <row r="69" spans="32:55">
      <c r="AF69">
        <f t="shared" si="22"/>
        <v>0</v>
      </c>
      <c r="AG69" t="str">
        <f t="shared" si="23"/>
        <v>Al³⁺ (g)</v>
      </c>
      <c r="AH69" t="s">
        <v>163</v>
      </c>
      <c r="AI69" t="s">
        <v>164</v>
      </c>
      <c r="AJ69" t="s">
        <v>164</v>
      </c>
      <c r="AK69" t="s">
        <v>165</v>
      </c>
      <c r="AL69" t="s">
        <v>166</v>
      </c>
      <c r="AS69" t="s">
        <v>47</v>
      </c>
      <c r="AX69" s="6">
        <v>26.98</v>
      </c>
      <c r="AY69" s="6" t="s">
        <v>167</v>
      </c>
      <c r="AZ69" s="6">
        <v>149.9</v>
      </c>
      <c r="BA69" s="6"/>
      <c r="BB69" s="6" t="s">
        <v>168</v>
      </c>
      <c r="BC69" s="6"/>
    </row>
    <row r="70" spans="32:55">
      <c r="AF70">
        <f t="shared" si="22"/>
        <v>0</v>
      </c>
      <c r="AG70" t="str">
        <f t="shared" si="23"/>
        <v>Al³⁺ (aq)</v>
      </c>
      <c r="AH70" t="s">
        <v>163</v>
      </c>
      <c r="AI70" t="s">
        <v>164</v>
      </c>
      <c r="AJ70" t="s">
        <v>164</v>
      </c>
      <c r="AL70" t="s">
        <v>166</v>
      </c>
      <c r="AS70" t="s">
        <v>48</v>
      </c>
      <c r="AX70" s="6">
        <v>26.98</v>
      </c>
      <c r="AY70" s="6" t="s">
        <v>169</v>
      </c>
      <c r="AZ70" s="6">
        <v>-325</v>
      </c>
      <c r="BA70" s="6"/>
      <c r="BB70" s="6">
        <v>-485</v>
      </c>
    </row>
    <row r="71" spans="32:55">
      <c r="AF71">
        <f t="shared" si="22"/>
        <v>0</v>
      </c>
      <c r="AG71" t="str">
        <f t="shared" si="23"/>
        <v>AlBr₃ (s)</v>
      </c>
      <c r="AH71" t="s">
        <v>170</v>
      </c>
      <c r="AI71" t="s">
        <v>171</v>
      </c>
      <c r="AJ71" t="s">
        <v>171</v>
      </c>
      <c r="AL71" t="s">
        <v>172</v>
      </c>
      <c r="AS71" t="s">
        <v>160</v>
      </c>
      <c r="AX71" s="6">
        <v>266.69</v>
      </c>
      <c r="AY71" s="6" t="s">
        <v>173</v>
      </c>
      <c r="AZ71" s="6">
        <v>180.2</v>
      </c>
      <c r="BA71" s="6"/>
      <c r="BB71" s="6">
        <v>-504</v>
      </c>
    </row>
    <row r="72" spans="32:55">
      <c r="AF72">
        <f t="shared" si="22"/>
        <v>0</v>
      </c>
      <c r="AG72" t="str">
        <f t="shared" si="23"/>
        <v>Al₄C₃ (s)</v>
      </c>
      <c r="AH72" t="s">
        <v>174</v>
      </c>
      <c r="AI72" t="s">
        <v>175</v>
      </c>
      <c r="AJ72" t="s">
        <v>175</v>
      </c>
      <c r="AL72" t="s">
        <v>176</v>
      </c>
      <c r="AS72" t="s">
        <v>160</v>
      </c>
      <c r="AX72" s="6">
        <v>143.96</v>
      </c>
      <c r="AY72" s="6" t="s">
        <v>177</v>
      </c>
      <c r="AZ72" s="6">
        <v>88.95</v>
      </c>
      <c r="BA72" s="6"/>
      <c r="BB72" s="6">
        <v>196.2</v>
      </c>
    </row>
    <row r="73" spans="32:55">
      <c r="AF73">
        <f t="shared" si="22"/>
        <v>0</v>
      </c>
      <c r="AG73" t="str">
        <f t="shared" si="23"/>
        <v>AlCl₃ (s)</v>
      </c>
      <c r="AH73" t="s">
        <v>178</v>
      </c>
      <c r="AI73" t="s">
        <v>179</v>
      </c>
      <c r="AJ73" t="s">
        <v>179</v>
      </c>
      <c r="AK73" t="s">
        <v>180</v>
      </c>
      <c r="AL73" t="s">
        <v>181</v>
      </c>
      <c r="AS73" t="s">
        <v>160</v>
      </c>
      <c r="AX73" s="6">
        <v>133.34</v>
      </c>
      <c r="AY73" s="6" t="s">
        <v>182</v>
      </c>
      <c r="AZ73" s="6">
        <v>109.3</v>
      </c>
      <c r="BA73" s="6"/>
      <c r="BB73" s="6">
        <v>-628.79999999999995</v>
      </c>
    </row>
    <row r="74" spans="32:55">
      <c r="AF74">
        <f t="shared" si="22"/>
        <v>0</v>
      </c>
      <c r="AG74" t="str">
        <f t="shared" si="23"/>
        <v>AlCl₃∙6H₂O (s)</v>
      </c>
      <c r="AH74" t="s">
        <v>183</v>
      </c>
      <c r="AI74" t="s">
        <v>184</v>
      </c>
      <c r="AJ74" t="s">
        <v>185</v>
      </c>
      <c r="AL74" t="s">
        <v>186</v>
      </c>
      <c r="AS74" t="s">
        <v>160</v>
      </c>
      <c r="AX74" s="6">
        <v>241.43</v>
      </c>
      <c r="AY74" s="6" t="s">
        <v>187</v>
      </c>
      <c r="AZ74" s="6">
        <v>377</v>
      </c>
      <c r="BA74" s="6"/>
      <c r="BB74" s="6">
        <v>-2279</v>
      </c>
    </row>
    <row r="75" spans="32:55">
      <c r="AF75">
        <f t="shared" si="22"/>
        <v>0</v>
      </c>
      <c r="AG75" t="str">
        <f t="shared" si="23"/>
        <v>AlF₃ (s)</v>
      </c>
      <c r="AH75" t="s">
        <v>188</v>
      </c>
      <c r="AI75" t="s">
        <v>189</v>
      </c>
      <c r="AJ75" t="s">
        <v>189</v>
      </c>
      <c r="AK75" t="s">
        <v>190</v>
      </c>
      <c r="AL75" t="s">
        <v>191</v>
      </c>
      <c r="AS75" t="s">
        <v>160</v>
      </c>
      <c r="AX75" s="6">
        <v>83.98</v>
      </c>
      <c r="AY75" s="6" t="s">
        <v>192</v>
      </c>
      <c r="AZ75" s="6">
        <v>66.5</v>
      </c>
      <c r="BA75" s="6"/>
      <c r="BB75" s="6">
        <v>-1431.1</v>
      </c>
    </row>
    <row r="76" spans="32:55">
      <c r="AF76">
        <f t="shared" si="22"/>
        <v>0</v>
      </c>
      <c r="AG76" t="str">
        <f t="shared" si="23"/>
        <v>Al(OH)₃ (s)</v>
      </c>
      <c r="AH76" t="s">
        <v>193</v>
      </c>
      <c r="AI76" t="s">
        <v>194</v>
      </c>
      <c r="AJ76" t="s">
        <v>195</v>
      </c>
      <c r="AL76" t="s">
        <v>196</v>
      </c>
      <c r="AS76" t="s">
        <v>160</v>
      </c>
      <c r="AX76" s="6">
        <v>78</v>
      </c>
      <c r="AY76" s="6" t="s">
        <v>197</v>
      </c>
      <c r="AZ76" s="6">
        <v>448.1</v>
      </c>
      <c r="BA76" s="6"/>
      <c r="BB76" s="6">
        <v>-1137.5999999999999</v>
      </c>
    </row>
    <row r="77" spans="32:55">
      <c r="AF77">
        <f t="shared" si="22"/>
        <v>0</v>
      </c>
      <c r="AG77" t="str">
        <f t="shared" si="23"/>
        <v>Al(NO₃)₃∙9H₂O (s)</v>
      </c>
      <c r="AH77" t="s">
        <v>198</v>
      </c>
      <c r="AI77" t="s">
        <v>199</v>
      </c>
      <c r="AJ77" t="s">
        <v>200</v>
      </c>
      <c r="AL77" t="s">
        <v>201</v>
      </c>
      <c r="AS77" t="s">
        <v>160</v>
      </c>
      <c r="AX77" s="6">
        <v>375.13</v>
      </c>
      <c r="AY77" s="6" t="s">
        <v>202</v>
      </c>
      <c r="AZ77" s="6">
        <v>569</v>
      </c>
      <c r="BA77" s="6"/>
      <c r="BB77" s="6">
        <v>-2930</v>
      </c>
    </row>
    <row r="78" spans="32:55">
      <c r="AF78">
        <f t="shared" si="22"/>
        <v>0</v>
      </c>
      <c r="AG78" t="str">
        <f t="shared" si="23"/>
        <v>Al₂O₃ (s)</v>
      </c>
      <c r="AH78" t="s">
        <v>203</v>
      </c>
      <c r="AI78" t="s">
        <v>204</v>
      </c>
      <c r="AJ78" t="s">
        <v>204</v>
      </c>
      <c r="AL78" t="s">
        <v>205</v>
      </c>
      <c r="AS78" t="s">
        <v>160</v>
      </c>
      <c r="AX78" s="6">
        <v>101.96</v>
      </c>
      <c r="AY78" s="6" t="s">
        <v>206</v>
      </c>
      <c r="AZ78" s="6">
        <v>50.92</v>
      </c>
      <c r="BA78" s="6"/>
      <c r="BB78" s="6">
        <v>-1582.3</v>
      </c>
    </row>
    <row r="79" spans="32:55">
      <c r="AF79">
        <f t="shared" si="22"/>
        <v>0</v>
      </c>
      <c r="AG79" t="str">
        <f t="shared" si="23"/>
        <v>AlPO₄ (s)</v>
      </c>
      <c r="AH79" t="s">
        <v>207</v>
      </c>
      <c r="AI79" t="s">
        <v>208</v>
      </c>
      <c r="AJ79" t="s">
        <v>208</v>
      </c>
      <c r="AL79" t="s">
        <v>209</v>
      </c>
      <c r="AS79" t="s">
        <v>160</v>
      </c>
      <c r="AX79" s="6">
        <v>121.95</v>
      </c>
      <c r="AY79" s="6" t="s">
        <v>210</v>
      </c>
      <c r="AZ79" s="6">
        <v>90.79</v>
      </c>
      <c r="BA79" s="6"/>
      <c r="BB79" s="6">
        <v>-1617.9</v>
      </c>
    </row>
    <row r="80" spans="32:55">
      <c r="AF80">
        <f t="shared" si="22"/>
        <v>0</v>
      </c>
      <c r="AG80" t="str">
        <f t="shared" si="23"/>
        <v>Al₂(SO₄)₃ (s)</v>
      </c>
      <c r="AH80" t="s">
        <v>211</v>
      </c>
      <c r="AI80" t="s">
        <v>212</v>
      </c>
      <c r="AJ80" t="s">
        <v>213</v>
      </c>
      <c r="AL80" t="s">
        <v>214</v>
      </c>
      <c r="AS80" t="s">
        <v>160</v>
      </c>
      <c r="AX80" s="6">
        <v>342.15</v>
      </c>
      <c r="AY80" s="6" t="s">
        <v>215</v>
      </c>
      <c r="AZ80" s="6">
        <v>239.3</v>
      </c>
      <c r="BA80" s="6"/>
      <c r="BB80" s="6">
        <v>-3100.3</v>
      </c>
    </row>
    <row r="81" spans="31:55">
      <c r="AE81" t="b">
        <f>AND(LEN(AG81)&lt;&gt;"")</f>
        <v>1</v>
      </c>
      <c r="AF81">
        <f t="shared" si="22"/>
        <v>0</v>
      </c>
      <c r="AG81" t="str">
        <f t="shared" si="23"/>
        <v/>
      </c>
      <c r="AH81" t="s">
        <v>216</v>
      </c>
      <c r="AI81" t="s">
        <v>217</v>
      </c>
      <c r="AJ81" t="s">
        <v>218</v>
      </c>
      <c r="AL81" t="s">
        <v>219</v>
      </c>
      <c r="AS81" t="s">
        <v>220</v>
      </c>
      <c r="AX81" s="6">
        <v>666.43</v>
      </c>
      <c r="AY81" s="6" t="s">
        <v>168</v>
      </c>
      <c r="AZ81" s="6" t="s">
        <v>168</v>
      </c>
      <c r="BA81" s="6"/>
      <c r="BB81" s="6" t="s">
        <v>168</v>
      </c>
      <c r="BC81" s="6"/>
    </row>
    <row r="82" spans="31:55">
      <c r="AF82">
        <f t="shared" si="22"/>
        <v>0</v>
      </c>
      <c r="AG82" t="str">
        <f t="shared" si="23"/>
        <v>AlO₂⁻ (aq)</v>
      </c>
      <c r="AH82" t="s">
        <v>221</v>
      </c>
      <c r="AI82" t="s">
        <v>222</v>
      </c>
      <c r="AJ82" t="s">
        <v>222</v>
      </c>
      <c r="AL82" t="s">
        <v>223</v>
      </c>
      <c r="AS82" t="s">
        <v>48</v>
      </c>
      <c r="AX82" s="6">
        <v>58.98</v>
      </c>
      <c r="AY82" s="6" t="s">
        <v>224</v>
      </c>
      <c r="AZ82" s="6">
        <v>-36.799999999999997</v>
      </c>
      <c r="BA82" s="6"/>
      <c r="BB82" s="6">
        <v>-830.9</v>
      </c>
    </row>
    <row r="83" spans="31:55">
      <c r="AF83">
        <f t="shared" si="22"/>
        <v>0</v>
      </c>
      <c r="AG83" t="str">
        <f t="shared" si="23"/>
        <v>AlF₆³⁻ (aq)</v>
      </c>
      <c r="AH83" t="s">
        <v>225</v>
      </c>
      <c r="AI83" t="s">
        <v>226</v>
      </c>
      <c r="AJ83" t="s">
        <v>226</v>
      </c>
      <c r="AL83" t="s">
        <v>227</v>
      </c>
      <c r="AS83" t="s">
        <v>48</v>
      </c>
      <c r="AX83" s="6">
        <v>140.97</v>
      </c>
      <c r="AY83" s="6" t="s">
        <v>228</v>
      </c>
      <c r="AZ83" s="6" t="s">
        <v>168</v>
      </c>
      <c r="BA83" s="6"/>
      <c r="BB83" s="6">
        <v>-2271.1999999999998</v>
      </c>
    </row>
    <row r="84" spans="31:55">
      <c r="AF84">
        <f t="shared" si="22"/>
        <v>0</v>
      </c>
      <c r="AG84" t="str">
        <f t="shared" si="23"/>
        <v>Sb (s)</v>
      </c>
      <c r="AH84" t="s">
        <v>229</v>
      </c>
      <c r="AI84" t="s">
        <v>229</v>
      </c>
      <c r="AJ84" t="s">
        <v>229</v>
      </c>
      <c r="AL84" t="s">
        <v>230</v>
      </c>
      <c r="AS84" t="s">
        <v>160</v>
      </c>
      <c r="AX84" s="6">
        <v>121.76</v>
      </c>
      <c r="AY84" s="6" t="s">
        <v>161</v>
      </c>
      <c r="AZ84" s="6">
        <v>45.7</v>
      </c>
      <c r="BA84" s="6"/>
      <c r="BB84" s="6">
        <v>0</v>
      </c>
    </row>
    <row r="85" spans="31:55">
      <c r="AF85">
        <f t="shared" si="22"/>
        <v>0</v>
      </c>
      <c r="AG85" t="str">
        <f t="shared" si="23"/>
        <v>SbCl₃ (s)</v>
      </c>
      <c r="AH85" t="s">
        <v>231</v>
      </c>
      <c r="AI85" t="s">
        <v>232</v>
      </c>
      <c r="AJ85" t="s">
        <v>232</v>
      </c>
      <c r="AK85" t="s">
        <v>233</v>
      </c>
      <c r="AL85" t="s">
        <v>234</v>
      </c>
      <c r="AS85" t="s">
        <v>160</v>
      </c>
      <c r="AX85" s="6">
        <v>228.12</v>
      </c>
      <c r="AY85" s="6" t="s">
        <v>235</v>
      </c>
      <c r="AZ85" s="6">
        <v>184.1</v>
      </c>
      <c r="BA85" s="6"/>
      <c r="BB85" s="6">
        <v>-323.72000000000003</v>
      </c>
    </row>
    <row r="86" spans="31:55">
      <c r="AF86">
        <f t="shared" si="22"/>
        <v>0</v>
      </c>
      <c r="AG86" t="str">
        <f t="shared" si="23"/>
        <v>SbCl₅ (l)</v>
      </c>
      <c r="AH86" t="s">
        <v>236</v>
      </c>
      <c r="AI86" t="s">
        <v>237</v>
      </c>
      <c r="AJ86" t="s">
        <v>237</v>
      </c>
      <c r="AL86" t="s">
        <v>238</v>
      </c>
      <c r="AS86" t="s">
        <v>239</v>
      </c>
      <c r="AX86" s="6">
        <v>299.02</v>
      </c>
      <c r="AY86" s="6" t="s">
        <v>240</v>
      </c>
      <c r="AZ86" s="6">
        <v>301.3</v>
      </c>
      <c r="BA86" s="6"/>
      <c r="BB86" s="6">
        <v>-350.2</v>
      </c>
    </row>
    <row r="87" spans="31:55">
      <c r="AF87">
        <f t="shared" si="22"/>
        <v>0</v>
      </c>
      <c r="AG87" t="str">
        <f t="shared" si="23"/>
        <v>SbH₃ (g)</v>
      </c>
      <c r="AH87" t="s">
        <v>241</v>
      </c>
      <c r="AI87" t="s">
        <v>242</v>
      </c>
      <c r="AJ87" t="s">
        <v>242</v>
      </c>
      <c r="AL87" t="s">
        <v>243</v>
      </c>
      <c r="AS87" t="s">
        <v>47</v>
      </c>
      <c r="AX87" s="6">
        <v>124.78</v>
      </c>
      <c r="AY87" s="6" t="s">
        <v>244</v>
      </c>
      <c r="AZ87" s="6">
        <v>232.67</v>
      </c>
      <c r="BA87" s="6"/>
      <c r="BB87" s="6">
        <v>147.74</v>
      </c>
    </row>
    <row r="88" spans="31:55">
      <c r="AF88">
        <f t="shared" si="22"/>
        <v>0</v>
      </c>
      <c r="AG88" t="str">
        <f t="shared" si="23"/>
        <v>Sb₂O₃ (s)</v>
      </c>
      <c r="AH88" t="s">
        <v>245</v>
      </c>
      <c r="AI88" t="s">
        <v>246</v>
      </c>
      <c r="AJ88" t="s">
        <v>246</v>
      </c>
      <c r="AK88" t="s">
        <v>247</v>
      </c>
      <c r="AL88" t="s">
        <v>248</v>
      </c>
      <c r="AS88" t="s">
        <v>160</v>
      </c>
      <c r="AX88" s="6">
        <v>291.52</v>
      </c>
      <c r="AY88" s="6" t="s">
        <v>249</v>
      </c>
      <c r="AZ88" s="6">
        <v>133</v>
      </c>
      <c r="BA88" s="6"/>
      <c r="BB88" s="6">
        <v>-632.20000000000005</v>
      </c>
    </row>
    <row r="89" spans="31:55">
      <c r="AF89">
        <f t="shared" si="22"/>
        <v>0</v>
      </c>
      <c r="AG89" t="str">
        <f t="shared" si="23"/>
        <v>Sb₂O₅ (s)</v>
      </c>
      <c r="AH89" t="s">
        <v>250</v>
      </c>
      <c r="AI89" t="s">
        <v>251</v>
      </c>
      <c r="AJ89" t="s">
        <v>251</v>
      </c>
      <c r="AL89" t="s">
        <v>252</v>
      </c>
      <c r="AS89" t="s">
        <v>160</v>
      </c>
      <c r="AX89" s="6">
        <v>323.52</v>
      </c>
      <c r="AY89" s="6" t="s">
        <v>253</v>
      </c>
      <c r="AZ89" s="6">
        <v>125.1</v>
      </c>
      <c r="BA89" s="6"/>
      <c r="BB89" s="6">
        <v>-829.3</v>
      </c>
    </row>
    <row r="90" spans="31:55">
      <c r="AF90">
        <f t="shared" si="22"/>
        <v>0</v>
      </c>
      <c r="AG90" t="str">
        <f t="shared" si="23"/>
        <v>SbOCl (s)</v>
      </c>
      <c r="AH90" t="s">
        <v>254</v>
      </c>
      <c r="AI90" t="s">
        <v>254</v>
      </c>
      <c r="AJ90" t="s">
        <v>254</v>
      </c>
      <c r="AL90" t="s">
        <v>255</v>
      </c>
      <c r="AS90" t="s">
        <v>160</v>
      </c>
      <c r="AX90" s="6">
        <v>173.21</v>
      </c>
      <c r="AY90" s="6" t="s">
        <v>256</v>
      </c>
      <c r="AZ90" s="6" t="s">
        <v>168</v>
      </c>
      <c r="BA90" s="6"/>
      <c r="BB90" s="6"/>
      <c r="BC90" s="6"/>
    </row>
    <row r="91" spans="31:55">
      <c r="AF91">
        <f t="shared" si="22"/>
        <v>0</v>
      </c>
      <c r="AG91" t="str">
        <f t="shared" si="23"/>
        <v>Sb₂S₃ (s)</v>
      </c>
      <c r="AH91" t="s">
        <v>257</v>
      </c>
      <c r="AI91" t="s">
        <v>258</v>
      </c>
      <c r="AJ91" t="s">
        <v>258</v>
      </c>
      <c r="AL91" t="s">
        <v>259</v>
      </c>
      <c r="AS91" t="s">
        <v>160</v>
      </c>
      <c r="AX91" s="6">
        <v>339.72</v>
      </c>
      <c r="AY91" s="6" t="s">
        <v>260</v>
      </c>
      <c r="AZ91" s="6">
        <v>182</v>
      </c>
      <c r="BA91" s="6"/>
      <c r="BB91" s="6">
        <v>-173.6</v>
      </c>
    </row>
    <row r="92" spans="31:55">
      <c r="AF92">
        <f t="shared" si="22"/>
        <v>0</v>
      </c>
      <c r="AG92" t="str">
        <f t="shared" si="23"/>
        <v/>
      </c>
      <c r="AH92" t="s">
        <v>261</v>
      </c>
      <c r="AI92" t="s">
        <v>262</v>
      </c>
      <c r="AJ92" t="s">
        <v>262</v>
      </c>
      <c r="AL92" t="s">
        <v>263</v>
      </c>
      <c r="AS92" t="s">
        <v>220</v>
      </c>
      <c r="AX92" s="6">
        <v>403.85</v>
      </c>
      <c r="AY92" s="6" t="s">
        <v>168</v>
      </c>
      <c r="AZ92" s="6" t="s">
        <v>168</v>
      </c>
      <c r="BA92" s="6"/>
      <c r="BB92" s="6" t="s">
        <v>168</v>
      </c>
      <c r="BC92" s="6"/>
    </row>
    <row r="93" spans="31:55">
      <c r="AF93">
        <f t="shared" si="22"/>
        <v>0</v>
      </c>
      <c r="AG93" t="str">
        <f t="shared" si="23"/>
        <v>H₃SbO₄ (s)</v>
      </c>
      <c r="AH93" t="s">
        <v>264</v>
      </c>
      <c r="AI93" t="s">
        <v>265</v>
      </c>
      <c r="AJ93" t="s">
        <v>265</v>
      </c>
      <c r="AL93" t="s">
        <v>266</v>
      </c>
      <c r="AS93" t="s">
        <v>160</v>
      </c>
      <c r="AX93" s="6">
        <v>188.78</v>
      </c>
      <c r="AY93" s="6" t="s">
        <v>267</v>
      </c>
      <c r="AZ93" s="6" t="s">
        <v>168</v>
      </c>
      <c r="BA93" s="6"/>
      <c r="BB93" s="6" t="s">
        <v>168</v>
      </c>
      <c r="BC93" s="6"/>
    </row>
    <row r="94" spans="31:55">
      <c r="AF94">
        <f t="shared" si="22"/>
        <v>0</v>
      </c>
      <c r="AG94" t="str">
        <f t="shared" si="23"/>
        <v>Ar (g)</v>
      </c>
      <c r="AH94" t="s">
        <v>268</v>
      </c>
      <c r="AI94" t="s">
        <v>268</v>
      </c>
      <c r="AJ94" t="s">
        <v>268</v>
      </c>
      <c r="AL94" t="s">
        <v>269</v>
      </c>
      <c r="AS94" t="s">
        <v>47</v>
      </c>
      <c r="AX94" s="6">
        <v>39.950000000000003</v>
      </c>
      <c r="AY94" s="6" t="s">
        <v>161</v>
      </c>
      <c r="AZ94" s="6">
        <v>154.85</v>
      </c>
      <c r="BA94" s="6"/>
      <c r="BB94" s="6">
        <v>0</v>
      </c>
    </row>
    <row r="95" spans="31:55">
      <c r="AF95">
        <f t="shared" si="22"/>
        <v>0</v>
      </c>
      <c r="AG95" t="str">
        <f t="shared" si="23"/>
        <v>As (s)</v>
      </c>
      <c r="AH95" t="s">
        <v>270</v>
      </c>
      <c r="AI95" t="s">
        <v>270</v>
      </c>
      <c r="AJ95" t="s">
        <v>270</v>
      </c>
      <c r="AL95" t="s">
        <v>271</v>
      </c>
      <c r="AS95" t="s">
        <v>160</v>
      </c>
      <c r="AX95" s="6">
        <v>74.92</v>
      </c>
      <c r="AY95" s="6" t="s">
        <v>161</v>
      </c>
      <c r="AZ95" s="6">
        <v>35.14</v>
      </c>
      <c r="BA95" s="6"/>
      <c r="BB95" s="6">
        <v>0</v>
      </c>
    </row>
    <row r="96" spans="31:55">
      <c r="AF96">
        <f t="shared" si="22"/>
        <v>0</v>
      </c>
      <c r="AG96" t="str">
        <f t="shared" si="23"/>
        <v>As₄ (g)</v>
      </c>
      <c r="AH96" t="s">
        <v>272</v>
      </c>
      <c r="AI96" t="s">
        <v>273</v>
      </c>
      <c r="AJ96" t="s">
        <v>273</v>
      </c>
      <c r="AL96" t="s">
        <v>274</v>
      </c>
      <c r="AS96" t="s">
        <v>47</v>
      </c>
      <c r="AX96" s="6">
        <v>299.69</v>
      </c>
      <c r="AY96" s="6" t="s">
        <v>275</v>
      </c>
      <c r="AZ96" s="6">
        <v>313.8</v>
      </c>
      <c r="BA96" s="6"/>
      <c r="BB96" s="6">
        <v>92.4</v>
      </c>
    </row>
    <row r="97" spans="32:55">
      <c r="AF97">
        <f t="shared" si="22"/>
        <v>0</v>
      </c>
      <c r="AG97" t="str">
        <f t="shared" si="23"/>
        <v>AsCl₃ (l)</v>
      </c>
      <c r="AH97" t="s">
        <v>276</v>
      </c>
      <c r="AI97" t="s">
        <v>277</v>
      </c>
      <c r="AJ97" t="s">
        <v>277</v>
      </c>
      <c r="AL97" t="s">
        <v>278</v>
      </c>
      <c r="AS97" t="s">
        <v>239</v>
      </c>
      <c r="AX97" s="6">
        <v>181.28</v>
      </c>
      <c r="AY97" s="6" t="s">
        <v>279</v>
      </c>
      <c r="AZ97" s="6">
        <v>207.5</v>
      </c>
      <c r="BA97" s="6"/>
      <c r="BB97" s="6">
        <v>-259.39999999999998</v>
      </c>
    </row>
    <row r="98" spans="32:55">
      <c r="AF98">
        <f t="shared" si="22"/>
        <v>0</v>
      </c>
      <c r="AG98" t="str">
        <f t="shared" si="23"/>
        <v>AsH₃ (g)</v>
      </c>
      <c r="AH98" t="s">
        <v>280</v>
      </c>
      <c r="AI98" t="s">
        <v>281</v>
      </c>
      <c r="AJ98" t="s">
        <v>281</v>
      </c>
      <c r="AK98" t="s">
        <v>282</v>
      </c>
      <c r="AL98" t="s">
        <v>283</v>
      </c>
      <c r="AS98" t="s">
        <v>47</v>
      </c>
      <c r="AX98" s="6">
        <v>77.95</v>
      </c>
      <c r="AY98" s="6" t="s">
        <v>284</v>
      </c>
      <c r="AZ98" s="6">
        <v>222.8</v>
      </c>
      <c r="BA98" s="6"/>
      <c r="BB98" s="6">
        <v>68.900000000000006</v>
      </c>
    </row>
    <row r="99" spans="32:55">
      <c r="AF99">
        <f t="shared" si="22"/>
        <v>0</v>
      </c>
      <c r="AG99" t="str">
        <f t="shared" si="23"/>
        <v>As₂O₃ (s)</v>
      </c>
      <c r="AH99" t="s">
        <v>285</v>
      </c>
      <c r="AI99" t="s">
        <v>286</v>
      </c>
      <c r="AJ99" t="s">
        <v>286</v>
      </c>
      <c r="AK99" t="s">
        <v>287</v>
      </c>
      <c r="AL99" t="s">
        <v>288</v>
      </c>
      <c r="AS99" t="s">
        <v>160</v>
      </c>
      <c r="AX99" s="6">
        <v>197.84</v>
      </c>
      <c r="AY99" s="6" t="s">
        <v>289</v>
      </c>
      <c r="AZ99" s="6">
        <v>107.1</v>
      </c>
      <c r="BA99" s="6"/>
      <c r="BB99" s="6">
        <v>-576.5</v>
      </c>
    </row>
    <row r="100" spans="32:55">
      <c r="AF100">
        <f t="shared" si="22"/>
        <v>0</v>
      </c>
      <c r="AG100" t="str">
        <f t="shared" si="23"/>
        <v>As₂O₅ (s)</v>
      </c>
      <c r="AH100" t="s">
        <v>290</v>
      </c>
      <c r="AI100" t="s">
        <v>291</v>
      </c>
      <c r="AJ100" t="s">
        <v>291</v>
      </c>
      <c r="AL100" t="s">
        <v>292</v>
      </c>
      <c r="AS100" t="s">
        <v>160</v>
      </c>
      <c r="AX100" s="6">
        <v>229.84</v>
      </c>
      <c r="AY100" s="6" t="s">
        <v>293</v>
      </c>
      <c r="AZ100" s="6">
        <v>105.4</v>
      </c>
      <c r="BA100" s="6"/>
      <c r="BB100" s="6">
        <v>-782.3</v>
      </c>
    </row>
    <row r="101" spans="32:55">
      <c r="AF101">
        <f t="shared" si="22"/>
        <v>0</v>
      </c>
      <c r="AG101" t="str">
        <f t="shared" si="23"/>
        <v>As₂S₃ (s)</v>
      </c>
      <c r="AH101" t="s">
        <v>294</v>
      </c>
      <c r="AI101" t="s">
        <v>295</v>
      </c>
      <c r="AJ101" t="s">
        <v>295</v>
      </c>
      <c r="AL101" t="s">
        <v>296</v>
      </c>
      <c r="AS101" t="s">
        <v>160</v>
      </c>
      <c r="AX101" s="6">
        <v>246.04</v>
      </c>
      <c r="AY101" s="6" t="s">
        <v>297</v>
      </c>
      <c r="AZ101" s="6">
        <v>163.6</v>
      </c>
      <c r="BA101" s="6"/>
      <c r="BB101" s="6">
        <v>-168.6</v>
      </c>
    </row>
    <row r="102" spans="32:55">
      <c r="AF102">
        <f t="shared" si="22"/>
        <v>0</v>
      </c>
      <c r="AG102" t="str">
        <f t="shared" si="23"/>
        <v>H₃AsO₄ (s)</v>
      </c>
      <c r="AH102" t="s">
        <v>298</v>
      </c>
      <c r="AI102" t="s">
        <v>299</v>
      </c>
      <c r="AJ102" t="s">
        <v>299</v>
      </c>
      <c r="AL102" t="s">
        <v>300</v>
      </c>
      <c r="AS102" t="s">
        <v>160</v>
      </c>
      <c r="AX102" s="6">
        <v>141.94</v>
      </c>
      <c r="AY102" s="6" t="s">
        <v>301</v>
      </c>
      <c r="AZ102" s="6" t="s">
        <v>168</v>
      </c>
      <c r="BA102" s="6"/>
      <c r="BB102" s="6"/>
      <c r="BC102" s="6"/>
    </row>
    <row r="103" spans="32:55">
      <c r="AF103">
        <f t="shared" si="22"/>
        <v>0</v>
      </c>
      <c r="AG103" t="str">
        <f t="shared" si="23"/>
        <v>AsO₄³⁻ (aq)</v>
      </c>
      <c r="AH103" t="s">
        <v>302</v>
      </c>
      <c r="AI103" t="s">
        <v>303</v>
      </c>
      <c r="AJ103" t="s">
        <v>303</v>
      </c>
      <c r="AL103" t="s">
        <v>304</v>
      </c>
      <c r="AS103" t="s">
        <v>48</v>
      </c>
      <c r="AX103" s="6">
        <v>138.91999999999999</v>
      </c>
      <c r="AY103" s="6" t="s">
        <v>305</v>
      </c>
      <c r="AZ103" s="6">
        <v>-162.80000000000001</v>
      </c>
      <c r="BA103" s="6"/>
      <c r="BB103" s="6">
        <v>-648.4</v>
      </c>
    </row>
    <row r="104" spans="32:55">
      <c r="AF104">
        <f t="shared" si="22"/>
        <v>0</v>
      </c>
      <c r="AG104" t="str">
        <f t="shared" si="23"/>
        <v>AsO₂⁻ (aq)</v>
      </c>
      <c r="AH104" t="s">
        <v>306</v>
      </c>
      <c r="AI104" t="s">
        <v>307</v>
      </c>
      <c r="AJ104" t="s">
        <v>307</v>
      </c>
      <c r="AL104" t="s">
        <v>308</v>
      </c>
      <c r="AS104" t="s">
        <v>48</v>
      </c>
      <c r="AX104" s="6">
        <v>106.92</v>
      </c>
      <c r="AY104" s="6" t="s">
        <v>309</v>
      </c>
      <c r="AZ104" s="6">
        <v>40.6</v>
      </c>
      <c r="BA104" s="6"/>
      <c r="BB104" s="6">
        <v>-350</v>
      </c>
    </row>
    <row r="105" spans="32:55">
      <c r="AF105">
        <f t="shared" si="22"/>
        <v>0</v>
      </c>
      <c r="AG105" t="str">
        <f t="shared" si="23"/>
        <v>Ba (s)</v>
      </c>
      <c r="AH105" t="s">
        <v>310</v>
      </c>
      <c r="AI105" t="s">
        <v>310</v>
      </c>
      <c r="AJ105" t="s">
        <v>310</v>
      </c>
      <c r="AL105" t="s">
        <v>311</v>
      </c>
      <c r="AS105" t="s">
        <v>160</v>
      </c>
      <c r="AX105" s="6">
        <v>137.33000000000001</v>
      </c>
      <c r="AY105" s="6" t="s">
        <v>161</v>
      </c>
      <c r="AZ105" s="6">
        <v>62.5</v>
      </c>
      <c r="BA105" s="6"/>
      <c r="BB105" s="6">
        <v>0</v>
      </c>
    </row>
    <row r="106" spans="32:55">
      <c r="AF106">
        <f t="shared" si="22"/>
        <v>0</v>
      </c>
      <c r="AG106" t="str">
        <f t="shared" si="23"/>
        <v>Ba²⁺ (g)</v>
      </c>
      <c r="AH106" t="s">
        <v>312</v>
      </c>
      <c r="AI106" t="s">
        <v>313</v>
      </c>
      <c r="AJ106" t="s">
        <v>313</v>
      </c>
      <c r="AK106" t="s">
        <v>314</v>
      </c>
      <c r="AL106" t="s">
        <v>315</v>
      </c>
      <c r="AS106" t="s">
        <v>47</v>
      </c>
      <c r="AX106" s="6">
        <v>137.33000000000001</v>
      </c>
      <c r="AY106" s="6" t="s">
        <v>316</v>
      </c>
      <c r="AZ106" s="6">
        <v>170.2</v>
      </c>
      <c r="BA106" s="6"/>
      <c r="BB106" s="6" t="s">
        <v>168</v>
      </c>
      <c r="BC106" s="6"/>
    </row>
    <row r="107" spans="32:55">
      <c r="AF107">
        <f t="shared" si="22"/>
        <v>0</v>
      </c>
      <c r="AG107" t="str">
        <f t="shared" si="23"/>
        <v>Ba²⁺ (aq)</v>
      </c>
      <c r="AH107" t="s">
        <v>312</v>
      </c>
      <c r="AI107" t="s">
        <v>313</v>
      </c>
      <c r="AJ107" t="s">
        <v>313</v>
      </c>
      <c r="AL107" t="s">
        <v>315</v>
      </c>
      <c r="AS107" t="s">
        <v>48</v>
      </c>
      <c r="AX107" s="6">
        <v>137.33000000000001</v>
      </c>
      <c r="AY107" s="6" t="s">
        <v>317</v>
      </c>
      <c r="AZ107" s="6">
        <v>9.6</v>
      </c>
      <c r="BA107" s="6"/>
      <c r="BB107" s="6">
        <v>-560.74</v>
      </c>
    </row>
    <row r="108" spans="32:55">
      <c r="AF108">
        <f t="shared" si="22"/>
        <v>0</v>
      </c>
      <c r="AG108" t="str">
        <f t="shared" si="23"/>
        <v>BaBr₂ (s)</v>
      </c>
      <c r="AH108" t="s">
        <v>318</v>
      </c>
      <c r="AI108" t="s">
        <v>319</v>
      </c>
      <c r="AJ108" t="s">
        <v>319</v>
      </c>
      <c r="AL108" t="s">
        <v>320</v>
      </c>
      <c r="AS108" t="s">
        <v>160</v>
      </c>
      <c r="AX108" s="6">
        <v>297.14</v>
      </c>
      <c r="AY108" s="6" t="s">
        <v>321</v>
      </c>
      <c r="AZ108" s="6">
        <v>146</v>
      </c>
      <c r="BA108" s="6"/>
      <c r="BB108" s="6">
        <v>-736.8</v>
      </c>
    </row>
    <row r="109" spans="32:55">
      <c r="AF109">
        <f t="shared" si="22"/>
        <v>0</v>
      </c>
      <c r="AG109" t="str">
        <f t="shared" si="23"/>
        <v>BaCO₃ (s)</v>
      </c>
      <c r="AH109" t="s">
        <v>322</v>
      </c>
      <c r="AI109" t="s">
        <v>323</v>
      </c>
      <c r="AJ109" t="s">
        <v>323</v>
      </c>
      <c r="AL109" t="s">
        <v>324</v>
      </c>
      <c r="AS109" t="s">
        <v>160</v>
      </c>
      <c r="AX109" s="6">
        <v>197.34</v>
      </c>
      <c r="AY109" s="6" t="s">
        <v>325</v>
      </c>
      <c r="AZ109" s="6">
        <v>112.1</v>
      </c>
      <c r="BA109" s="6"/>
      <c r="BB109" s="6">
        <v>-1137.5999999999999</v>
      </c>
    </row>
    <row r="110" spans="32:55">
      <c r="AF110">
        <f t="shared" si="22"/>
        <v>0</v>
      </c>
      <c r="AG110" t="str">
        <f t="shared" si="23"/>
        <v>BaCl₂ (s)</v>
      </c>
      <c r="AH110" t="s">
        <v>326</v>
      </c>
      <c r="AI110" t="s">
        <v>327</v>
      </c>
      <c r="AJ110" t="s">
        <v>327</v>
      </c>
      <c r="AL110" t="s">
        <v>328</v>
      </c>
      <c r="AS110" t="s">
        <v>160</v>
      </c>
      <c r="AX110" s="6">
        <v>208.25</v>
      </c>
      <c r="AY110" s="6" t="s">
        <v>329</v>
      </c>
      <c r="AZ110" s="6">
        <v>123.7</v>
      </c>
      <c r="BA110" s="6"/>
      <c r="BB110" s="6">
        <v>-806.7</v>
      </c>
    </row>
    <row r="111" spans="32:55">
      <c r="AF111">
        <f t="shared" si="22"/>
        <v>0</v>
      </c>
      <c r="AG111" t="str">
        <f t="shared" si="23"/>
        <v>BaCl₂∙2H₂O (s)</v>
      </c>
      <c r="AH111" t="s">
        <v>330</v>
      </c>
      <c r="AI111" t="s">
        <v>331</v>
      </c>
      <c r="AJ111" t="s">
        <v>332</v>
      </c>
      <c r="AL111" t="s">
        <v>333</v>
      </c>
      <c r="AS111" t="s">
        <v>160</v>
      </c>
      <c r="AX111" s="6">
        <v>244.23</v>
      </c>
      <c r="AY111" s="6" t="s">
        <v>334</v>
      </c>
      <c r="AZ111" s="6">
        <v>202</v>
      </c>
      <c r="BA111" s="6"/>
      <c r="BB111" s="6">
        <v>-1293.2</v>
      </c>
    </row>
    <row r="112" spans="32:55">
      <c r="AF112">
        <f t="shared" si="22"/>
        <v>0</v>
      </c>
      <c r="AG112" t="str">
        <f t="shared" si="23"/>
        <v>BaCrO₄ (s)</v>
      </c>
      <c r="AH112" t="s">
        <v>335</v>
      </c>
      <c r="AI112" t="s">
        <v>336</v>
      </c>
      <c r="AJ112" t="s">
        <v>336</v>
      </c>
      <c r="AL112" t="s">
        <v>337</v>
      </c>
      <c r="AS112" t="s">
        <v>160</v>
      </c>
      <c r="AX112" s="6">
        <v>253.32</v>
      </c>
      <c r="AY112" s="6" t="s">
        <v>338</v>
      </c>
      <c r="AZ112" s="6">
        <v>158.6</v>
      </c>
      <c r="BA112" s="6"/>
      <c r="BB112" s="6">
        <v>-1345.28</v>
      </c>
    </row>
    <row r="113" spans="32:55">
      <c r="AF113">
        <f t="shared" si="22"/>
        <v>0</v>
      </c>
      <c r="AG113" t="str">
        <f t="shared" si="23"/>
        <v>BaH₂ (s)</v>
      </c>
      <c r="AH113" t="s">
        <v>339</v>
      </c>
      <c r="AI113" t="s">
        <v>340</v>
      </c>
      <c r="AJ113" t="s">
        <v>340</v>
      </c>
      <c r="AL113" t="s">
        <v>341</v>
      </c>
      <c r="AS113" t="s">
        <v>160</v>
      </c>
      <c r="AX113" s="6">
        <v>139.34</v>
      </c>
      <c r="AY113" s="6" t="s">
        <v>342</v>
      </c>
      <c r="AZ113" s="6">
        <v>63</v>
      </c>
      <c r="BA113" s="6"/>
      <c r="BB113" s="6">
        <v>-138.19999999999999</v>
      </c>
    </row>
    <row r="114" spans="32:55">
      <c r="AF114">
        <f t="shared" si="22"/>
        <v>0</v>
      </c>
      <c r="AG114" t="str">
        <f t="shared" si="23"/>
        <v>Ba(OH)₂ (s)</v>
      </c>
      <c r="AH114" t="s">
        <v>343</v>
      </c>
      <c r="AI114" t="s">
        <v>344</v>
      </c>
      <c r="AJ114" t="s">
        <v>345</v>
      </c>
      <c r="AL114" t="s">
        <v>346</v>
      </c>
      <c r="AS114" t="s">
        <v>160</v>
      </c>
      <c r="AX114" s="6">
        <v>171.34</v>
      </c>
      <c r="AY114" s="6" t="s">
        <v>347</v>
      </c>
      <c r="AZ114" s="6">
        <v>99.7</v>
      </c>
      <c r="BA114" s="6"/>
      <c r="BB114" s="6">
        <v>-855.2</v>
      </c>
    </row>
    <row r="115" spans="32:55">
      <c r="AF115">
        <f t="shared" si="22"/>
        <v>0</v>
      </c>
      <c r="AG115" t="str">
        <f t="shared" si="23"/>
        <v>Ba(OH)₂∙8H₂O (s)</v>
      </c>
      <c r="AH115" t="s">
        <v>348</v>
      </c>
      <c r="AI115" t="s">
        <v>349</v>
      </c>
      <c r="AJ115" t="s">
        <v>350</v>
      </c>
      <c r="AL115" t="s">
        <v>351</v>
      </c>
      <c r="AS115" t="s">
        <v>160</v>
      </c>
      <c r="AX115" s="6">
        <v>315.45999999999998</v>
      </c>
      <c r="AY115" s="6" t="s">
        <v>352</v>
      </c>
      <c r="AZ115" s="6">
        <v>427</v>
      </c>
      <c r="BA115" s="6"/>
      <c r="BB115" s="6">
        <v>-2792.2</v>
      </c>
    </row>
    <row r="116" spans="32:55">
      <c r="AF116">
        <f t="shared" si="22"/>
        <v>0</v>
      </c>
      <c r="AG116" t="str">
        <f t="shared" si="23"/>
        <v>Ba(NO₃)₂ (s)</v>
      </c>
      <c r="AH116" t="s">
        <v>353</v>
      </c>
      <c r="AI116" t="s">
        <v>354</v>
      </c>
      <c r="AJ116" t="s">
        <v>355</v>
      </c>
      <c r="AL116" t="s">
        <v>356</v>
      </c>
      <c r="AS116" t="s">
        <v>160</v>
      </c>
      <c r="AX116" s="6">
        <v>261.33999999999997</v>
      </c>
      <c r="AY116" s="6" t="s">
        <v>357</v>
      </c>
      <c r="AZ116" s="6">
        <v>214</v>
      </c>
      <c r="BA116" s="6"/>
      <c r="BB116" s="6">
        <v>-792.6</v>
      </c>
    </row>
    <row r="117" spans="32:55">
      <c r="AF117">
        <f t="shared" si="22"/>
        <v>0</v>
      </c>
      <c r="AG117" t="str">
        <f t="shared" si="23"/>
        <v>BaO (s)</v>
      </c>
      <c r="AH117" t="s">
        <v>358</v>
      </c>
      <c r="AI117" t="s">
        <v>358</v>
      </c>
      <c r="AJ117" t="s">
        <v>358</v>
      </c>
      <c r="AL117" t="s">
        <v>359</v>
      </c>
      <c r="AS117" t="s">
        <v>160</v>
      </c>
      <c r="AX117" s="6">
        <v>153.33000000000001</v>
      </c>
      <c r="AY117" s="6" t="s">
        <v>360</v>
      </c>
      <c r="AZ117" s="6">
        <v>72.099999999999994</v>
      </c>
      <c r="BA117" s="6"/>
      <c r="BB117" s="6">
        <v>-520.29999999999995</v>
      </c>
    </row>
    <row r="118" spans="32:55">
      <c r="AF118">
        <f t="shared" si="22"/>
        <v>0</v>
      </c>
      <c r="AG118" t="str">
        <f t="shared" si="23"/>
        <v>BaO₂ (s)</v>
      </c>
      <c r="AH118" t="s">
        <v>361</v>
      </c>
      <c r="AI118" t="s">
        <v>362</v>
      </c>
      <c r="AJ118" t="s">
        <v>362</v>
      </c>
      <c r="AL118" t="s">
        <v>363</v>
      </c>
      <c r="AS118" t="s">
        <v>160</v>
      </c>
      <c r="AX118" s="6">
        <v>169.33</v>
      </c>
      <c r="AY118" s="6" t="s">
        <v>364</v>
      </c>
      <c r="AZ118" s="6">
        <v>65.7</v>
      </c>
      <c r="BA118" s="6"/>
      <c r="BB118" s="6">
        <v>-572</v>
      </c>
    </row>
    <row r="119" spans="32:55">
      <c r="AF119">
        <f t="shared" si="22"/>
        <v>0</v>
      </c>
      <c r="AG119" t="str">
        <f t="shared" si="23"/>
        <v>BaSO₄ (s)</v>
      </c>
      <c r="AH119" t="s">
        <v>365</v>
      </c>
      <c r="AI119" t="s">
        <v>366</v>
      </c>
      <c r="AJ119" t="s">
        <v>366</v>
      </c>
      <c r="AK119" t="s">
        <v>367</v>
      </c>
      <c r="AL119" t="s">
        <v>368</v>
      </c>
      <c r="AS119" t="s">
        <v>160</v>
      </c>
      <c r="AX119" s="6">
        <v>233.39</v>
      </c>
      <c r="AY119" s="6" t="s">
        <v>369</v>
      </c>
      <c r="AZ119" s="6">
        <v>132.19999999999999</v>
      </c>
      <c r="BA119" s="6"/>
      <c r="BB119" s="6">
        <v>-1362.3</v>
      </c>
    </row>
    <row r="120" spans="32:55">
      <c r="AF120">
        <f t="shared" si="22"/>
        <v>0</v>
      </c>
      <c r="AG120" t="str">
        <f t="shared" si="23"/>
        <v>Be (s)</v>
      </c>
      <c r="AH120" t="s">
        <v>370</v>
      </c>
      <c r="AI120" t="s">
        <v>370</v>
      </c>
      <c r="AJ120" t="s">
        <v>370</v>
      </c>
      <c r="AL120" t="s">
        <v>371</v>
      </c>
      <c r="AS120" t="s">
        <v>160</v>
      </c>
      <c r="AX120" s="6">
        <v>9.01</v>
      </c>
      <c r="AY120" s="6" t="s">
        <v>161</v>
      </c>
      <c r="AZ120" s="6">
        <v>9.5</v>
      </c>
      <c r="BA120" s="6"/>
      <c r="BB120" s="6">
        <v>0</v>
      </c>
    </row>
    <row r="121" spans="32:55">
      <c r="AF121">
        <f t="shared" si="22"/>
        <v>0</v>
      </c>
      <c r="AG121" t="str">
        <f t="shared" si="23"/>
        <v>Be²⁺ (g)</v>
      </c>
      <c r="AH121" t="s">
        <v>372</v>
      </c>
      <c r="AI121" t="s">
        <v>373</v>
      </c>
      <c r="AJ121" t="s">
        <v>373</v>
      </c>
      <c r="AK121" t="s">
        <v>374</v>
      </c>
      <c r="AL121" t="s">
        <v>375</v>
      </c>
      <c r="AS121" t="s">
        <v>47</v>
      </c>
      <c r="AX121" s="6">
        <v>9.01</v>
      </c>
      <c r="AY121" s="6" t="s">
        <v>376</v>
      </c>
      <c r="AZ121" s="6">
        <v>170.2</v>
      </c>
      <c r="BA121" s="6"/>
      <c r="BB121" s="6" t="s">
        <v>168</v>
      </c>
      <c r="BC121" s="6"/>
    </row>
    <row r="122" spans="32:55">
      <c r="AF122">
        <f t="shared" si="22"/>
        <v>0</v>
      </c>
      <c r="AG122" t="str">
        <f t="shared" si="23"/>
        <v>Be²⁺ (aq)</v>
      </c>
      <c r="AH122" t="s">
        <v>372</v>
      </c>
      <c r="AI122" t="s">
        <v>373</v>
      </c>
      <c r="AJ122" t="s">
        <v>373</v>
      </c>
      <c r="AL122" t="s">
        <v>375</v>
      </c>
      <c r="AS122" t="s">
        <v>48</v>
      </c>
      <c r="AX122" s="6">
        <v>9.01</v>
      </c>
      <c r="AY122" s="6" t="s">
        <v>377</v>
      </c>
      <c r="AZ122" s="6">
        <v>-129.69999999999999</v>
      </c>
      <c r="BA122" s="6"/>
      <c r="BB122" s="6">
        <v>-379.7</v>
      </c>
    </row>
    <row r="123" spans="32:55">
      <c r="AF123">
        <f t="shared" si="22"/>
        <v>0</v>
      </c>
      <c r="AG123" t="str">
        <f t="shared" si="23"/>
        <v>BeCl₂ (s)</v>
      </c>
      <c r="AH123" t="s">
        <v>378</v>
      </c>
      <c r="AI123" t="s">
        <v>379</v>
      </c>
      <c r="AJ123" t="s">
        <v>379</v>
      </c>
      <c r="AL123" t="s">
        <v>380</v>
      </c>
      <c r="AS123" t="s">
        <v>160</v>
      </c>
      <c r="AX123" s="6">
        <v>79.92</v>
      </c>
      <c r="AY123" s="6" t="s">
        <v>381</v>
      </c>
      <c r="AZ123" s="6">
        <v>75.8</v>
      </c>
      <c r="BA123" s="6"/>
      <c r="BB123" s="6">
        <v>-445.6</v>
      </c>
    </row>
    <row r="124" spans="32:55">
      <c r="AF124">
        <f t="shared" si="22"/>
        <v>0</v>
      </c>
      <c r="AG124" t="str">
        <f t="shared" si="23"/>
        <v>Be(NO₃)₂∙3H₂O (s)</v>
      </c>
      <c r="AH124" t="s">
        <v>382</v>
      </c>
      <c r="AI124" t="s">
        <v>383</v>
      </c>
      <c r="AJ124" t="s">
        <v>384</v>
      </c>
      <c r="AL124" t="s">
        <v>385</v>
      </c>
      <c r="AS124" t="s">
        <v>160</v>
      </c>
      <c r="AX124" s="6">
        <v>187.07</v>
      </c>
      <c r="AY124" s="6" t="s">
        <v>386</v>
      </c>
      <c r="AZ124" s="6" t="s">
        <v>168</v>
      </c>
      <c r="BA124" s="6"/>
      <c r="BB124" s="6" t="s">
        <v>168</v>
      </c>
      <c r="BC124" s="6"/>
    </row>
    <row r="125" spans="32:55">
      <c r="AF125">
        <f t="shared" si="22"/>
        <v>0</v>
      </c>
      <c r="AG125" t="str">
        <f t="shared" si="23"/>
        <v>BeO (s)</v>
      </c>
      <c r="AH125" t="s">
        <v>387</v>
      </c>
      <c r="AI125" t="s">
        <v>387</v>
      </c>
      <c r="AJ125" t="s">
        <v>387</v>
      </c>
      <c r="AL125" t="s">
        <v>388</v>
      </c>
      <c r="AS125" t="s">
        <v>160</v>
      </c>
      <c r="AX125" s="6">
        <v>25.01</v>
      </c>
      <c r="AY125" s="6" t="s">
        <v>389</v>
      </c>
      <c r="AZ125" s="6">
        <v>13.8</v>
      </c>
      <c r="BA125" s="6"/>
      <c r="BB125" s="6">
        <v>-580.1</v>
      </c>
    </row>
    <row r="126" spans="32:55">
      <c r="AF126">
        <f t="shared" si="22"/>
        <v>0</v>
      </c>
      <c r="AG126" t="str">
        <f t="shared" si="23"/>
        <v>BeSO₄∙4H₂O (s)</v>
      </c>
      <c r="AH126" t="s">
        <v>390</v>
      </c>
      <c r="AI126" t="s">
        <v>391</v>
      </c>
      <c r="AJ126" t="s">
        <v>392</v>
      </c>
      <c r="AL126" t="s">
        <v>393</v>
      </c>
      <c r="AS126" t="s">
        <v>160</v>
      </c>
      <c r="AX126" s="6">
        <v>177.14</v>
      </c>
      <c r="AY126" s="6" t="s">
        <v>394</v>
      </c>
      <c r="AZ126" s="6">
        <v>232.97</v>
      </c>
      <c r="BA126" s="6"/>
      <c r="BB126" s="6">
        <v>-2080.66</v>
      </c>
    </row>
    <row r="127" spans="32:55">
      <c r="AF127">
        <f t="shared" si="22"/>
        <v>0</v>
      </c>
      <c r="AG127" t="str">
        <f t="shared" si="23"/>
        <v>Bi (s)</v>
      </c>
      <c r="AH127" t="s">
        <v>395</v>
      </c>
      <c r="AI127" t="s">
        <v>395</v>
      </c>
      <c r="AJ127" t="s">
        <v>395</v>
      </c>
      <c r="AL127" t="s">
        <v>396</v>
      </c>
      <c r="AS127" t="s">
        <v>160</v>
      </c>
      <c r="AX127" s="6">
        <v>208.98</v>
      </c>
      <c r="AY127" s="6" t="s">
        <v>161</v>
      </c>
      <c r="AZ127" s="6">
        <v>56.74</v>
      </c>
      <c r="BA127" s="6"/>
      <c r="BB127" s="6">
        <v>0</v>
      </c>
    </row>
    <row r="128" spans="32:55">
      <c r="AF128">
        <f t="shared" si="22"/>
        <v>0</v>
      </c>
      <c r="AG128" t="str">
        <f t="shared" si="23"/>
        <v>Bi³⁺ (aq)</v>
      </c>
      <c r="AH128" t="s">
        <v>397</v>
      </c>
      <c r="AI128" t="s">
        <v>398</v>
      </c>
      <c r="AJ128" t="s">
        <v>398</v>
      </c>
      <c r="AL128" t="s">
        <v>399</v>
      </c>
      <c r="AS128" t="s">
        <v>48</v>
      </c>
      <c r="AX128" s="6">
        <v>208.98</v>
      </c>
      <c r="AY128" s="6" t="s">
        <v>400</v>
      </c>
      <c r="AZ128" s="6">
        <v>-176.75</v>
      </c>
      <c r="BA128" s="6"/>
      <c r="BB128" s="6">
        <v>82.8</v>
      </c>
    </row>
    <row r="129" spans="32:55">
      <c r="AF129">
        <f t="shared" si="22"/>
        <v>0</v>
      </c>
      <c r="AG129" t="str">
        <f t="shared" si="23"/>
        <v>BiCl₃ (s)</v>
      </c>
      <c r="AH129" t="s">
        <v>401</v>
      </c>
      <c r="AI129" t="s">
        <v>402</v>
      </c>
      <c r="AJ129" t="s">
        <v>402</v>
      </c>
      <c r="AL129" t="s">
        <v>403</v>
      </c>
      <c r="AS129" t="s">
        <v>160</v>
      </c>
      <c r="AX129" s="6">
        <v>315.33999999999997</v>
      </c>
      <c r="AY129" s="6" t="s">
        <v>404</v>
      </c>
      <c r="AZ129" s="6">
        <v>177</v>
      </c>
      <c r="BA129" s="6"/>
      <c r="BB129" s="6">
        <v>-315</v>
      </c>
    </row>
    <row r="130" spans="32:55">
      <c r="AF130">
        <f t="shared" si="22"/>
        <v>0</v>
      </c>
      <c r="AG130" t="str">
        <f t="shared" si="23"/>
        <v>BiCl₄ (s)</v>
      </c>
      <c r="AH130" t="s">
        <v>405</v>
      </c>
      <c r="AI130" t="s">
        <v>406</v>
      </c>
      <c r="AJ130" t="s">
        <v>406</v>
      </c>
      <c r="AL130" t="s">
        <v>407</v>
      </c>
      <c r="AS130" t="s">
        <v>160</v>
      </c>
      <c r="AX130" s="6">
        <v>350.79</v>
      </c>
      <c r="AY130" s="6" t="s">
        <v>168</v>
      </c>
      <c r="AZ130" s="6" t="s">
        <v>168</v>
      </c>
      <c r="BA130" s="6"/>
      <c r="BB130" s="6" t="s">
        <v>168</v>
      </c>
      <c r="BC130" s="6"/>
    </row>
    <row r="131" spans="32:55">
      <c r="AF131">
        <f t="shared" ref="AF131:AF194" si="24">IF(OR(AG131="",COUNTIF(AG:AG, AG131) = 1),0, "1")</f>
        <v>0</v>
      </c>
      <c r="AG131" t="str">
        <f t="shared" ref="AG131:AG194" si="25">IF(AS131 &lt;&gt; "",AH131&amp;" ("&amp;AS131 &amp;")","")</f>
        <v>Bi(OH)₃ (s)</v>
      </c>
      <c r="AH131" t="s">
        <v>408</v>
      </c>
      <c r="AI131" t="s">
        <v>409</v>
      </c>
      <c r="AJ131" t="s">
        <v>410</v>
      </c>
      <c r="AL131" t="s">
        <v>411</v>
      </c>
      <c r="AS131" t="s">
        <v>160</v>
      </c>
      <c r="AX131" s="6">
        <v>260</v>
      </c>
      <c r="AY131" s="6" t="s">
        <v>412</v>
      </c>
      <c r="AZ131" s="6" t="s">
        <v>168</v>
      </c>
      <c r="BA131" s="6"/>
      <c r="BB131" s="6" t="s">
        <v>168</v>
      </c>
      <c r="BC131" s="6"/>
    </row>
    <row r="132" spans="32:55">
      <c r="AF132">
        <f t="shared" si="24"/>
        <v>0</v>
      </c>
      <c r="AG132" t="str">
        <f t="shared" si="25"/>
        <v>Bi(NO₃)₃∙5H₂O (s)</v>
      </c>
      <c r="AH132" t="s">
        <v>413</v>
      </c>
      <c r="AI132" t="s">
        <v>414</v>
      </c>
      <c r="AJ132" t="s">
        <v>415</v>
      </c>
      <c r="AL132" t="s">
        <v>416</v>
      </c>
      <c r="AS132" t="s">
        <v>160</v>
      </c>
      <c r="AX132" s="6">
        <v>485.07</v>
      </c>
      <c r="AY132" s="6" t="s">
        <v>417</v>
      </c>
      <c r="AZ132" s="6" t="s">
        <v>168</v>
      </c>
      <c r="BA132" s="6"/>
      <c r="BB132" s="6" t="s">
        <v>168</v>
      </c>
      <c r="BC132" s="6"/>
    </row>
    <row r="133" spans="32:55">
      <c r="AF133">
        <f t="shared" si="24"/>
        <v>0</v>
      </c>
      <c r="AG133" t="str">
        <f t="shared" si="25"/>
        <v>BiOCl (s)</v>
      </c>
      <c r="AH133" t="s">
        <v>418</v>
      </c>
      <c r="AI133" t="s">
        <v>418</v>
      </c>
      <c r="AJ133" t="s">
        <v>418</v>
      </c>
      <c r="AL133" t="s">
        <v>419</v>
      </c>
      <c r="AS133" t="s">
        <v>160</v>
      </c>
      <c r="AX133" s="6">
        <v>260.43</v>
      </c>
      <c r="AY133" s="6" t="s">
        <v>420</v>
      </c>
      <c r="AZ133" s="6">
        <v>120.5</v>
      </c>
      <c r="BA133" s="6"/>
      <c r="BB133" s="6">
        <v>-322.10000000000002</v>
      </c>
    </row>
    <row r="134" spans="32:55">
      <c r="AF134">
        <f t="shared" si="24"/>
        <v>0</v>
      </c>
      <c r="AG134" t="str">
        <f t="shared" si="25"/>
        <v/>
      </c>
      <c r="AH134" t="s">
        <v>421</v>
      </c>
      <c r="AI134" t="s">
        <v>422</v>
      </c>
      <c r="AJ134" t="s">
        <v>422</v>
      </c>
      <c r="AL134" t="s">
        <v>423</v>
      </c>
      <c r="AS134" t="s">
        <v>220</v>
      </c>
      <c r="AX134" s="6">
        <v>257.99</v>
      </c>
      <c r="AY134" s="6" t="s">
        <v>168</v>
      </c>
      <c r="AZ134" s="6" t="s">
        <v>168</v>
      </c>
      <c r="BA134" s="6"/>
      <c r="BB134" s="6" t="s">
        <v>168</v>
      </c>
      <c r="BC134" s="6"/>
    </row>
    <row r="135" spans="32:55">
      <c r="AF135">
        <f t="shared" si="24"/>
        <v>0</v>
      </c>
      <c r="AG135" t="str">
        <f t="shared" si="25"/>
        <v>Pb (s)</v>
      </c>
      <c r="AH135" t="s">
        <v>424</v>
      </c>
      <c r="AI135" t="s">
        <v>424</v>
      </c>
      <c r="AJ135" t="s">
        <v>424</v>
      </c>
      <c r="AK135" t="s">
        <v>425</v>
      </c>
      <c r="AL135" t="s">
        <v>426</v>
      </c>
      <c r="AS135" t="s">
        <v>160</v>
      </c>
      <c r="AX135" s="6">
        <v>207.2</v>
      </c>
      <c r="AY135" s="6" t="s">
        <v>161</v>
      </c>
      <c r="AZ135" s="6">
        <v>64.8</v>
      </c>
      <c r="BA135" s="6"/>
      <c r="BB135" s="6">
        <v>0</v>
      </c>
    </row>
    <row r="136" spans="32:55">
      <c r="AF136">
        <f t="shared" si="24"/>
        <v>0</v>
      </c>
      <c r="AG136" t="str">
        <f t="shared" si="25"/>
        <v>Pb²⁺ (g)</v>
      </c>
      <c r="AH136" t="s">
        <v>427</v>
      </c>
      <c r="AI136" t="s">
        <v>428</v>
      </c>
      <c r="AJ136" t="s">
        <v>428</v>
      </c>
      <c r="AK136" t="s">
        <v>429</v>
      </c>
      <c r="AL136" t="s">
        <v>430</v>
      </c>
      <c r="AS136" t="s">
        <v>47</v>
      </c>
      <c r="AX136" s="6">
        <v>207.2</v>
      </c>
      <c r="AY136" s="6" t="s">
        <v>431</v>
      </c>
      <c r="AZ136" s="6">
        <v>175.3</v>
      </c>
      <c r="BA136" s="6"/>
      <c r="BB136" s="6" t="s">
        <v>168</v>
      </c>
      <c r="BC136" s="6"/>
    </row>
    <row r="137" spans="32:55">
      <c r="AF137">
        <f t="shared" si="24"/>
        <v>0</v>
      </c>
      <c r="AG137" t="str">
        <f t="shared" si="25"/>
        <v>Pb²⁺ (aq)</v>
      </c>
      <c r="AH137" t="s">
        <v>427</v>
      </c>
      <c r="AI137" t="s">
        <v>428</v>
      </c>
      <c r="AJ137" t="s">
        <v>428</v>
      </c>
      <c r="AL137" t="s">
        <v>430</v>
      </c>
      <c r="AS137" t="s">
        <v>48</v>
      </c>
      <c r="AX137" s="6">
        <v>207.2</v>
      </c>
      <c r="AY137" s="6" t="s">
        <v>432</v>
      </c>
      <c r="AZ137" s="6">
        <v>18.5</v>
      </c>
      <c r="BA137" s="6"/>
      <c r="BB137" s="6">
        <v>-24.31</v>
      </c>
    </row>
    <row r="138" spans="32:55">
      <c r="AF138">
        <f t="shared" si="24"/>
        <v>0</v>
      </c>
      <c r="AG138" t="str">
        <f t="shared" si="25"/>
        <v>Pb(CH₃COO)₂∙3H₂O (s)</v>
      </c>
      <c r="AH138" t="s">
        <v>433</v>
      </c>
      <c r="AI138" t="s">
        <v>434</v>
      </c>
      <c r="AJ138" t="s">
        <v>435</v>
      </c>
      <c r="AK138" t="s">
        <v>436</v>
      </c>
      <c r="AL138" t="s">
        <v>437</v>
      </c>
      <c r="AS138" t="s">
        <v>160</v>
      </c>
      <c r="AX138" s="6">
        <v>379.33</v>
      </c>
      <c r="AY138" s="6" t="s">
        <v>438</v>
      </c>
      <c r="AZ138" s="6" t="s">
        <v>168</v>
      </c>
      <c r="BA138" s="6"/>
      <c r="BB138" s="6" t="s">
        <v>168</v>
      </c>
      <c r="BC138" s="6"/>
    </row>
    <row r="139" spans="32:55">
      <c r="AF139">
        <f t="shared" si="24"/>
        <v>0</v>
      </c>
      <c r="AG139" t="str">
        <f t="shared" si="25"/>
        <v>Pb(N₃)₂ (s)</v>
      </c>
      <c r="AH139" t="s">
        <v>439</v>
      </c>
      <c r="AI139" t="s">
        <v>440</v>
      </c>
      <c r="AJ139" t="s">
        <v>441</v>
      </c>
      <c r="AL139" t="s">
        <v>442</v>
      </c>
      <c r="AS139" t="s">
        <v>160</v>
      </c>
      <c r="AX139" s="6">
        <v>291.2</v>
      </c>
      <c r="AY139" s="6" t="s">
        <v>443</v>
      </c>
      <c r="AZ139" s="6">
        <v>207.1</v>
      </c>
      <c r="BA139" s="6"/>
      <c r="BB139" s="6">
        <v>565.1</v>
      </c>
    </row>
    <row r="140" spans="32:55">
      <c r="AF140">
        <f t="shared" si="24"/>
        <v>0</v>
      </c>
      <c r="AG140" t="str">
        <f t="shared" si="25"/>
        <v>PbBr₂ (s)</v>
      </c>
      <c r="AH140" t="s">
        <v>444</v>
      </c>
      <c r="AI140" t="s">
        <v>445</v>
      </c>
      <c r="AJ140" t="s">
        <v>445</v>
      </c>
      <c r="AL140" t="s">
        <v>446</v>
      </c>
      <c r="AS140" t="s">
        <v>160</v>
      </c>
      <c r="AX140" s="6">
        <v>367</v>
      </c>
      <c r="AY140" s="6" t="s">
        <v>447</v>
      </c>
      <c r="AZ140" s="6">
        <v>161.5</v>
      </c>
      <c r="BA140" s="6"/>
      <c r="BB140" s="6">
        <v>-260.41000000000003</v>
      </c>
    </row>
    <row r="141" spans="32:55">
      <c r="AF141">
        <f t="shared" si="24"/>
        <v>0</v>
      </c>
      <c r="AG141" t="str">
        <f t="shared" si="25"/>
        <v>PbCl₂ (s)</v>
      </c>
      <c r="AH141" t="s">
        <v>448</v>
      </c>
      <c r="AI141" t="s">
        <v>449</v>
      </c>
      <c r="AJ141" t="s">
        <v>449</v>
      </c>
      <c r="AL141" t="s">
        <v>450</v>
      </c>
      <c r="AS141" t="s">
        <v>160</v>
      </c>
      <c r="AX141" s="6">
        <v>278.10000000000002</v>
      </c>
      <c r="AY141" s="6" t="s">
        <v>451</v>
      </c>
      <c r="AZ141" s="6">
        <v>136.4</v>
      </c>
      <c r="BA141" s="6"/>
      <c r="BB141" s="6">
        <v>-313.97000000000003</v>
      </c>
    </row>
    <row r="142" spans="32:55">
      <c r="AF142">
        <f t="shared" si="24"/>
        <v>0</v>
      </c>
      <c r="AG142" t="str">
        <f t="shared" si="25"/>
        <v>PbCl₄ (l)</v>
      </c>
      <c r="AH142" t="s">
        <v>452</v>
      </c>
      <c r="AI142" t="s">
        <v>453</v>
      </c>
      <c r="AJ142" t="s">
        <v>453</v>
      </c>
      <c r="AL142" t="s">
        <v>454</v>
      </c>
      <c r="AS142" t="s">
        <v>239</v>
      </c>
      <c r="AX142" s="6">
        <v>349</v>
      </c>
      <c r="AY142" s="6" t="s">
        <v>455</v>
      </c>
      <c r="AZ142" s="6" t="s">
        <v>168</v>
      </c>
      <c r="BA142" s="6"/>
      <c r="BB142" s="6">
        <v>-259</v>
      </c>
    </row>
    <row r="143" spans="32:55">
      <c r="AF143">
        <f t="shared" si="24"/>
        <v>0</v>
      </c>
      <c r="AG143" t="str">
        <f t="shared" si="25"/>
        <v>PbCrO₄ (s)</v>
      </c>
      <c r="AH143" t="s">
        <v>456</v>
      </c>
      <c r="AI143" t="s">
        <v>457</v>
      </c>
      <c r="AJ143" t="s">
        <v>457</v>
      </c>
      <c r="AL143" t="s">
        <v>458</v>
      </c>
      <c r="AS143" t="s">
        <v>160</v>
      </c>
      <c r="AX143" s="6">
        <v>323.2</v>
      </c>
      <c r="AY143" s="6" t="s">
        <v>459</v>
      </c>
      <c r="AZ143" s="6">
        <v>152.69999999999999</v>
      </c>
      <c r="BA143" s="6"/>
      <c r="BB143" s="6">
        <v>-851.9</v>
      </c>
    </row>
    <row r="144" spans="32:55">
      <c r="AF144">
        <f t="shared" si="24"/>
        <v>0</v>
      </c>
      <c r="AG144" t="str">
        <f t="shared" si="25"/>
        <v>Pb(OH)₂ (s)</v>
      </c>
      <c r="AH144" t="s">
        <v>460</v>
      </c>
      <c r="AI144" t="s">
        <v>461</v>
      </c>
      <c r="AJ144" t="s">
        <v>462</v>
      </c>
      <c r="AL144" t="s">
        <v>463</v>
      </c>
      <c r="AS144" t="s">
        <v>160</v>
      </c>
      <c r="AX144" s="6">
        <v>241.2</v>
      </c>
      <c r="AY144" s="6" t="s">
        <v>464</v>
      </c>
      <c r="AZ144" s="6">
        <v>88</v>
      </c>
      <c r="BA144" s="6"/>
      <c r="BB144" s="6">
        <v>-420.9</v>
      </c>
    </row>
    <row r="145" spans="32:54">
      <c r="AF145">
        <f t="shared" si="24"/>
        <v>0</v>
      </c>
      <c r="AG145" t="str">
        <f t="shared" si="25"/>
        <v>PbI₂ (s)</v>
      </c>
      <c r="AH145" t="s">
        <v>465</v>
      </c>
      <c r="AI145" t="s">
        <v>466</v>
      </c>
      <c r="AJ145" t="s">
        <v>466</v>
      </c>
      <c r="AL145" t="s">
        <v>467</v>
      </c>
      <c r="AS145" t="s">
        <v>160</v>
      </c>
      <c r="AX145" s="6">
        <v>461</v>
      </c>
      <c r="AY145" s="6" t="s">
        <v>468</v>
      </c>
      <c r="AZ145" s="6">
        <v>174.8</v>
      </c>
      <c r="BA145" s="6"/>
      <c r="BB145" s="6">
        <v>-173.6</v>
      </c>
    </row>
    <row r="146" spans="32:54">
      <c r="AF146">
        <f t="shared" si="24"/>
        <v>0</v>
      </c>
      <c r="AG146" t="str">
        <f t="shared" si="25"/>
        <v>Pb(NO₃)₂ (s)</v>
      </c>
      <c r="AH146" t="s">
        <v>469</v>
      </c>
      <c r="AI146" t="s">
        <v>470</v>
      </c>
      <c r="AJ146" t="s">
        <v>471</v>
      </c>
      <c r="AL146" t="s">
        <v>472</v>
      </c>
      <c r="AS146" t="s">
        <v>160</v>
      </c>
      <c r="AX146" s="6">
        <v>331.2</v>
      </c>
      <c r="AY146" s="6" t="s">
        <v>473</v>
      </c>
      <c r="AZ146" s="6">
        <v>213</v>
      </c>
      <c r="BA146" s="6"/>
      <c r="BB146" s="6">
        <v>-252.3</v>
      </c>
    </row>
    <row r="147" spans="32:54">
      <c r="AF147">
        <f t="shared" si="24"/>
        <v>0</v>
      </c>
      <c r="AG147" t="str">
        <f t="shared" si="25"/>
        <v>PbO (s)</v>
      </c>
      <c r="AH147" t="s">
        <v>474</v>
      </c>
      <c r="AI147" t="s">
        <v>474</v>
      </c>
      <c r="AJ147" t="s">
        <v>474</v>
      </c>
      <c r="AL147" t="s">
        <v>475</v>
      </c>
      <c r="AS147" t="s">
        <v>160</v>
      </c>
      <c r="AX147" s="6">
        <v>223.2</v>
      </c>
      <c r="AY147" s="6" t="s">
        <v>476</v>
      </c>
      <c r="AZ147" s="6">
        <v>69.400000000000006</v>
      </c>
      <c r="BA147" s="6"/>
      <c r="BB147" s="6">
        <v>-188.5</v>
      </c>
    </row>
    <row r="148" spans="32:54">
      <c r="AF148">
        <f t="shared" si="24"/>
        <v>0</v>
      </c>
      <c r="AG148" t="str">
        <f t="shared" si="25"/>
        <v>PbO (s,rødt)</v>
      </c>
      <c r="AH148" t="s">
        <v>474</v>
      </c>
      <c r="AI148" t="s">
        <v>474</v>
      </c>
      <c r="AJ148" t="s">
        <v>474</v>
      </c>
      <c r="AL148" t="s">
        <v>475</v>
      </c>
      <c r="AS148" t="s">
        <v>477</v>
      </c>
      <c r="AX148" s="6">
        <v>223.2</v>
      </c>
      <c r="AY148" s="6" t="s">
        <v>478</v>
      </c>
      <c r="AZ148" s="6">
        <v>67.8</v>
      </c>
      <c r="BA148" s="6"/>
      <c r="BB148" s="6">
        <v>-189.3</v>
      </c>
    </row>
    <row r="149" spans="32:54">
      <c r="AF149">
        <f t="shared" si="24"/>
        <v>0</v>
      </c>
      <c r="AG149" t="str">
        <f t="shared" si="25"/>
        <v>PbO₂ (s)</v>
      </c>
      <c r="AH149" t="s">
        <v>479</v>
      </c>
      <c r="AI149" t="s">
        <v>480</v>
      </c>
      <c r="AJ149" t="s">
        <v>480</v>
      </c>
      <c r="AL149" t="s">
        <v>481</v>
      </c>
      <c r="AS149" t="s">
        <v>160</v>
      </c>
      <c r="AX149" s="6">
        <v>239.2</v>
      </c>
      <c r="AY149" s="6" t="s">
        <v>482</v>
      </c>
      <c r="AZ149" s="6">
        <v>76.599999999999994</v>
      </c>
      <c r="BA149" s="6"/>
      <c r="BB149" s="6">
        <v>-218.99</v>
      </c>
    </row>
    <row r="150" spans="32:54">
      <c r="AF150">
        <f t="shared" si="24"/>
        <v>0</v>
      </c>
      <c r="AG150" t="str">
        <f t="shared" si="25"/>
        <v>Pb₃O₄ (s)</v>
      </c>
      <c r="AH150" t="s">
        <v>483</v>
      </c>
      <c r="AI150" t="s">
        <v>484</v>
      </c>
      <c r="AJ150" t="s">
        <v>484</v>
      </c>
      <c r="AK150" t="s">
        <v>485</v>
      </c>
      <c r="AL150" t="s">
        <v>486</v>
      </c>
      <c r="AS150" t="s">
        <v>160</v>
      </c>
      <c r="AX150" s="6">
        <v>685.6</v>
      </c>
      <c r="AY150" s="6" t="s">
        <v>487</v>
      </c>
      <c r="AZ150" s="6">
        <v>211.3</v>
      </c>
      <c r="BA150" s="6"/>
      <c r="BB150" s="6">
        <v>-616.20000000000005</v>
      </c>
    </row>
    <row r="151" spans="32:54">
      <c r="AF151">
        <f t="shared" si="24"/>
        <v>0</v>
      </c>
      <c r="AG151" t="str">
        <f t="shared" si="25"/>
        <v>PbS (s)</v>
      </c>
      <c r="AH151" t="s">
        <v>488</v>
      </c>
      <c r="AI151" t="s">
        <v>488</v>
      </c>
      <c r="AJ151" t="s">
        <v>488</v>
      </c>
      <c r="AK151" t="s">
        <v>489</v>
      </c>
      <c r="AL151" t="s">
        <v>490</v>
      </c>
      <c r="AS151" t="s">
        <v>160</v>
      </c>
      <c r="AX151" s="6">
        <v>239.25</v>
      </c>
      <c r="AY151" s="6" t="s">
        <v>491</v>
      </c>
      <c r="AZ151" s="6">
        <v>91.2</v>
      </c>
      <c r="BA151" s="6"/>
      <c r="BB151" s="6">
        <v>-98.78</v>
      </c>
    </row>
    <row r="152" spans="32:54">
      <c r="AF152">
        <f t="shared" si="24"/>
        <v>0</v>
      </c>
      <c r="AG152" t="str">
        <f t="shared" si="25"/>
        <v>PbSO₄ (s)</v>
      </c>
      <c r="AH152" t="s">
        <v>492</v>
      </c>
      <c r="AI152" t="s">
        <v>493</v>
      </c>
      <c r="AJ152" t="s">
        <v>493</v>
      </c>
      <c r="AL152" t="s">
        <v>494</v>
      </c>
      <c r="AS152" t="s">
        <v>160</v>
      </c>
      <c r="AX152" s="6">
        <v>303.25</v>
      </c>
      <c r="AY152" s="6" t="s">
        <v>495</v>
      </c>
      <c r="AZ152" s="6">
        <v>140.19999999999999</v>
      </c>
      <c r="BA152" s="6"/>
      <c r="BB152" s="6">
        <v>-813.76</v>
      </c>
    </row>
    <row r="153" spans="32:54">
      <c r="AF153">
        <f t="shared" si="24"/>
        <v>0</v>
      </c>
      <c r="AG153" t="str">
        <f t="shared" si="25"/>
        <v>Pb(C₂H₅)₄ (l)</v>
      </c>
      <c r="AH153" t="s">
        <v>496</v>
      </c>
      <c r="AI153" t="s">
        <v>497</v>
      </c>
      <c r="AJ153" t="s">
        <v>498</v>
      </c>
      <c r="AL153" t="s">
        <v>499</v>
      </c>
      <c r="AS153" t="s">
        <v>239</v>
      </c>
      <c r="AX153" s="6">
        <v>323.44</v>
      </c>
      <c r="AY153" s="6" t="s">
        <v>500</v>
      </c>
      <c r="AZ153" s="6">
        <v>472.5</v>
      </c>
      <c r="BA153" s="6"/>
      <c r="BB153" s="6">
        <v>336.4</v>
      </c>
    </row>
    <row r="154" spans="32:54">
      <c r="AF154">
        <f t="shared" si="24"/>
        <v>0</v>
      </c>
      <c r="AG154" t="str">
        <f t="shared" si="25"/>
        <v>Pb(CH₃)₄ (l)</v>
      </c>
      <c r="AH154" t="s">
        <v>501</v>
      </c>
      <c r="AI154" t="s">
        <v>502</v>
      </c>
      <c r="AJ154" t="s">
        <v>503</v>
      </c>
      <c r="AL154" t="s">
        <v>504</v>
      </c>
      <c r="AS154" t="s">
        <v>239</v>
      </c>
      <c r="AX154" s="6">
        <v>267.33</v>
      </c>
      <c r="AY154" s="6" t="s">
        <v>505</v>
      </c>
      <c r="AZ154" s="6" t="s">
        <v>168</v>
      </c>
      <c r="BA154" s="6"/>
      <c r="BB154" s="6">
        <v>269.8</v>
      </c>
    </row>
    <row r="155" spans="32:54">
      <c r="AF155">
        <f t="shared" si="24"/>
        <v>0</v>
      </c>
      <c r="AG155" t="str">
        <f t="shared" si="25"/>
        <v>B (g)</v>
      </c>
      <c r="AH155" t="s">
        <v>506</v>
      </c>
      <c r="AI155" t="s">
        <v>506</v>
      </c>
      <c r="AJ155" t="s">
        <v>506</v>
      </c>
      <c r="AL155" t="s">
        <v>507</v>
      </c>
      <c r="AS155" t="s">
        <v>47</v>
      </c>
      <c r="AX155" s="6">
        <v>10.81</v>
      </c>
      <c r="AY155" s="6" t="s">
        <v>508</v>
      </c>
      <c r="AZ155" s="6">
        <v>153.44</v>
      </c>
      <c r="BA155" s="6"/>
      <c r="BB155" s="6">
        <v>518.79999999999995</v>
      </c>
    </row>
    <row r="156" spans="32:54">
      <c r="AF156">
        <f t="shared" si="24"/>
        <v>0</v>
      </c>
      <c r="AG156" t="str">
        <f t="shared" si="25"/>
        <v>B (s)</v>
      </c>
      <c r="AH156" t="s">
        <v>506</v>
      </c>
      <c r="AI156" t="s">
        <v>506</v>
      </c>
      <c r="AJ156" t="s">
        <v>506</v>
      </c>
      <c r="AL156" t="s">
        <v>507</v>
      </c>
      <c r="AS156" t="s">
        <v>160</v>
      </c>
      <c r="AX156" s="6">
        <v>10.81</v>
      </c>
      <c r="AY156" s="6" t="s">
        <v>161</v>
      </c>
      <c r="AZ156" s="6">
        <v>5.9</v>
      </c>
      <c r="BA156" s="6"/>
      <c r="BB156" s="6">
        <v>0</v>
      </c>
    </row>
    <row r="157" spans="32:54">
      <c r="AF157">
        <f t="shared" si="24"/>
        <v>0</v>
      </c>
      <c r="AG157" t="str">
        <f t="shared" si="25"/>
        <v>BN (s)</v>
      </c>
      <c r="AH157" t="s">
        <v>509</v>
      </c>
      <c r="AI157" t="s">
        <v>509</v>
      </c>
      <c r="AJ157" t="s">
        <v>509</v>
      </c>
      <c r="AL157" t="s">
        <v>510</v>
      </c>
      <c r="AS157" t="s">
        <v>160</v>
      </c>
      <c r="AX157" s="6">
        <v>24.82</v>
      </c>
      <c r="AY157" s="6" t="s">
        <v>511</v>
      </c>
      <c r="AZ157" s="6">
        <v>14.8</v>
      </c>
      <c r="BA157" s="6"/>
      <c r="BB157" s="6">
        <v>-228.4</v>
      </c>
    </row>
    <row r="158" spans="32:54">
      <c r="AF158">
        <f t="shared" si="24"/>
        <v>0</v>
      </c>
      <c r="AG158" t="str">
        <f t="shared" si="25"/>
        <v>B₂O₃ (s)</v>
      </c>
      <c r="AH158" t="s">
        <v>512</v>
      </c>
      <c r="AI158" t="s">
        <v>513</v>
      </c>
      <c r="AJ158" t="s">
        <v>513</v>
      </c>
      <c r="AL158" t="s">
        <v>514</v>
      </c>
      <c r="AS158" t="s">
        <v>160</v>
      </c>
      <c r="AX158" s="6">
        <v>69.62</v>
      </c>
      <c r="AY158" s="6" t="s">
        <v>515</v>
      </c>
      <c r="AZ158" s="6">
        <v>53.97</v>
      </c>
      <c r="BA158" s="6"/>
      <c r="BB158" s="6">
        <v>-1193.7</v>
      </c>
    </row>
    <row r="159" spans="32:54">
      <c r="AF159">
        <f t="shared" si="24"/>
        <v>0</v>
      </c>
      <c r="AG159" t="str">
        <f t="shared" si="25"/>
        <v>H₃BO₃ (s)</v>
      </c>
      <c r="AH159" t="s">
        <v>516</v>
      </c>
      <c r="AI159" t="s">
        <v>517</v>
      </c>
      <c r="AJ159" t="s">
        <v>517</v>
      </c>
      <c r="AL159" t="s">
        <v>518</v>
      </c>
      <c r="AS159" t="s">
        <v>160</v>
      </c>
      <c r="AX159" s="6">
        <v>61.83</v>
      </c>
      <c r="AY159" s="6" t="s">
        <v>519</v>
      </c>
      <c r="AZ159" s="6">
        <v>88.83</v>
      </c>
      <c r="BA159" s="6"/>
      <c r="BB159" s="6">
        <v>-969.01</v>
      </c>
    </row>
    <row r="160" spans="32:54">
      <c r="AF160">
        <f t="shared" si="24"/>
        <v>0</v>
      </c>
      <c r="AG160" t="str">
        <f t="shared" si="25"/>
        <v>H₃BO₃ (aq)</v>
      </c>
      <c r="AH160" t="s">
        <v>516</v>
      </c>
      <c r="AI160" t="s">
        <v>517</v>
      </c>
      <c r="AJ160" t="s">
        <v>517</v>
      </c>
      <c r="AL160" t="s">
        <v>518</v>
      </c>
      <c r="AS160" t="s">
        <v>48</v>
      </c>
      <c r="AX160" s="6">
        <v>61.83</v>
      </c>
      <c r="AY160" s="6" t="s">
        <v>520</v>
      </c>
      <c r="AZ160" s="6">
        <v>162.30000000000001</v>
      </c>
      <c r="BA160" s="6"/>
      <c r="BB160" s="6">
        <v>-968.85</v>
      </c>
    </row>
    <row r="161" spans="32:55">
      <c r="AF161">
        <f t="shared" si="24"/>
        <v>0</v>
      </c>
      <c r="AG161" t="str">
        <f t="shared" si="25"/>
        <v>H₂BO₃⁻ (aq)</v>
      </c>
      <c r="AH161" t="s">
        <v>521</v>
      </c>
      <c r="AI161" t="s">
        <v>522</v>
      </c>
      <c r="AJ161" t="s">
        <v>522</v>
      </c>
      <c r="AL161" t="s">
        <v>523</v>
      </c>
      <c r="AS161" t="s">
        <v>48</v>
      </c>
      <c r="AX161" s="6">
        <v>60.82</v>
      </c>
      <c r="AY161" s="6" t="s">
        <v>524</v>
      </c>
      <c r="AZ161" s="6">
        <v>30.5</v>
      </c>
      <c r="BA161" s="6"/>
      <c r="BB161" s="6">
        <v>-910.4</v>
      </c>
    </row>
    <row r="162" spans="32:55">
      <c r="AF162">
        <f t="shared" si="24"/>
        <v>0</v>
      </c>
      <c r="AG162" t="str">
        <f t="shared" si="25"/>
        <v/>
      </c>
      <c r="AH162" t="s">
        <v>525</v>
      </c>
      <c r="AI162" t="s">
        <v>526</v>
      </c>
      <c r="AJ162" t="s">
        <v>527</v>
      </c>
      <c r="AL162" t="s">
        <v>528</v>
      </c>
      <c r="AS162" t="s">
        <v>220</v>
      </c>
      <c r="AX162" s="6"/>
      <c r="AY162" s="6"/>
      <c r="AZ162" s="6"/>
      <c r="BA162" s="6"/>
      <c r="BB162" s="6"/>
      <c r="BC162" s="6"/>
    </row>
    <row r="163" spans="32:55">
      <c r="AF163">
        <f t="shared" si="24"/>
        <v>0</v>
      </c>
      <c r="AG163" t="str">
        <f t="shared" si="25"/>
        <v>H₂B₄O₇ (aq)</v>
      </c>
      <c r="AH163" t="s">
        <v>529</v>
      </c>
      <c r="AI163" t="s">
        <v>530</v>
      </c>
      <c r="AJ163" t="s">
        <v>530</v>
      </c>
      <c r="AL163" t="s">
        <v>531</v>
      </c>
      <c r="AS163" t="s">
        <v>48</v>
      </c>
      <c r="AX163" s="6">
        <v>157.25</v>
      </c>
      <c r="AY163" s="6" t="s">
        <v>168</v>
      </c>
      <c r="AZ163" s="6" t="s">
        <v>168</v>
      </c>
      <c r="BA163" s="6"/>
      <c r="BB163" s="6">
        <v>-2720</v>
      </c>
    </row>
    <row r="164" spans="32:55">
      <c r="AF164">
        <f t="shared" si="24"/>
        <v>0</v>
      </c>
      <c r="AG164" t="str">
        <f t="shared" si="25"/>
        <v>HB₄O₇⁻ (aq)</v>
      </c>
      <c r="AH164" t="s">
        <v>532</v>
      </c>
      <c r="AI164" t="s">
        <v>533</v>
      </c>
      <c r="AJ164" t="s">
        <v>533</v>
      </c>
      <c r="AL164" t="s">
        <v>534</v>
      </c>
      <c r="AS164" t="s">
        <v>48</v>
      </c>
      <c r="AX164" s="6">
        <v>156.24</v>
      </c>
      <c r="AY164" s="6" t="s">
        <v>168</v>
      </c>
      <c r="AZ164" s="6" t="s">
        <v>168</v>
      </c>
      <c r="BA164" s="6"/>
      <c r="BB164" s="6">
        <v>-2685.3</v>
      </c>
    </row>
    <row r="165" spans="32:55">
      <c r="AF165">
        <f t="shared" si="24"/>
        <v>0</v>
      </c>
      <c r="AG165" t="str">
        <f t="shared" si="25"/>
        <v>BF₃ (g)</v>
      </c>
      <c r="AH165" t="s">
        <v>535</v>
      </c>
      <c r="AI165" t="s">
        <v>536</v>
      </c>
      <c r="AJ165" t="s">
        <v>536</v>
      </c>
      <c r="AL165" t="s">
        <v>537</v>
      </c>
      <c r="AS165" t="s">
        <v>47</v>
      </c>
      <c r="AX165" s="6">
        <v>67.81</v>
      </c>
      <c r="AY165" s="6" t="s">
        <v>538</v>
      </c>
      <c r="AZ165" s="6">
        <v>254.42</v>
      </c>
      <c r="BA165" s="6"/>
      <c r="BB165" s="6">
        <v>-1120.3499999999999</v>
      </c>
    </row>
    <row r="166" spans="32:55">
      <c r="AF166">
        <f t="shared" si="24"/>
        <v>0</v>
      </c>
      <c r="AG166" t="str">
        <f t="shared" si="25"/>
        <v>B₂H₆ (g)</v>
      </c>
      <c r="AH166" t="s">
        <v>539</v>
      </c>
      <c r="AI166" t="s">
        <v>540</v>
      </c>
      <c r="AJ166" t="s">
        <v>540</v>
      </c>
      <c r="AL166" t="s">
        <v>541</v>
      </c>
      <c r="AS166" t="s">
        <v>47</v>
      </c>
      <c r="AX166" s="6">
        <v>27.67</v>
      </c>
      <c r="AY166" s="6" t="s">
        <v>542</v>
      </c>
      <c r="AZ166" s="6">
        <v>232</v>
      </c>
      <c r="BA166" s="6"/>
      <c r="BB166" s="6">
        <v>86.6</v>
      </c>
    </row>
    <row r="167" spans="32:55">
      <c r="AF167">
        <f t="shared" si="24"/>
        <v>0</v>
      </c>
      <c r="AG167" t="str">
        <f t="shared" si="25"/>
        <v>B₅H₉ (l)</v>
      </c>
      <c r="AH167" t="s">
        <v>543</v>
      </c>
      <c r="AI167" t="s">
        <v>544</v>
      </c>
      <c r="AJ167" t="s">
        <v>544</v>
      </c>
      <c r="AL167" t="s">
        <v>545</v>
      </c>
      <c r="AS167" t="s">
        <v>239</v>
      </c>
      <c r="AX167" s="6">
        <v>63.12</v>
      </c>
      <c r="AY167" s="6" t="s">
        <v>546</v>
      </c>
      <c r="AZ167" s="6">
        <v>184.22</v>
      </c>
      <c r="BA167" s="6"/>
      <c r="BB167" s="6">
        <v>171.67</v>
      </c>
    </row>
    <row r="168" spans="32:55">
      <c r="AF168">
        <f t="shared" si="24"/>
        <v>0</v>
      </c>
      <c r="AG168" t="str">
        <f t="shared" si="25"/>
        <v>Br (g)</v>
      </c>
      <c r="AH168" t="s">
        <v>547</v>
      </c>
      <c r="AI168" t="s">
        <v>547</v>
      </c>
      <c r="AJ168" t="s">
        <v>547</v>
      </c>
      <c r="AL168" t="s">
        <v>548</v>
      </c>
      <c r="AS168" t="s">
        <v>47</v>
      </c>
      <c r="AX168" s="6">
        <v>79.900000000000006</v>
      </c>
      <c r="AY168" s="6" t="s">
        <v>549</v>
      </c>
      <c r="AZ168" s="6">
        <v>175</v>
      </c>
      <c r="BA168" s="6"/>
      <c r="BB168" s="6">
        <v>82.4</v>
      </c>
    </row>
    <row r="169" spans="32:55">
      <c r="AF169">
        <f t="shared" si="24"/>
        <v>0</v>
      </c>
      <c r="AG169" t="str">
        <f t="shared" si="25"/>
        <v>Br₂ (l)</v>
      </c>
      <c r="AH169" t="s">
        <v>550</v>
      </c>
      <c r="AI169" t="s">
        <v>551</v>
      </c>
      <c r="AJ169" t="s">
        <v>551</v>
      </c>
      <c r="AL169" t="s">
        <v>552</v>
      </c>
      <c r="AS169" t="s">
        <v>239</v>
      </c>
      <c r="AX169" s="6">
        <v>159.81</v>
      </c>
      <c r="AY169" s="6" t="s">
        <v>161</v>
      </c>
      <c r="AZ169" s="6">
        <v>152.21</v>
      </c>
      <c r="BA169" s="6"/>
      <c r="BB169" s="6">
        <v>0</v>
      </c>
    </row>
    <row r="170" spans="32:55">
      <c r="AF170">
        <f t="shared" si="24"/>
        <v>0</v>
      </c>
      <c r="AG170" t="str">
        <f t="shared" si="25"/>
        <v>Br₂ (g)</v>
      </c>
      <c r="AH170" t="s">
        <v>550</v>
      </c>
      <c r="AI170" t="s">
        <v>551</v>
      </c>
      <c r="AJ170" t="s">
        <v>551</v>
      </c>
      <c r="AK170" t="s">
        <v>553</v>
      </c>
      <c r="AL170" t="s">
        <v>552</v>
      </c>
      <c r="AS170" t="s">
        <v>47</v>
      </c>
      <c r="AX170" s="6">
        <v>159.81</v>
      </c>
      <c r="AY170" s="6" t="s">
        <v>554</v>
      </c>
      <c r="AZ170" s="6">
        <v>245.46</v>
      </c>
      <c r="BA170" s="6"/>
      <c r="BB170" s="6">
        <v>3.11</v>
      </c>
    </row>
    <row r="171" spans="32:55">
      <c r="AF171">
        <f t="shared" si="24"/>
        <v>0</v>
      </c>
      <c r="AG171" t="str">
        <f t="shared" si="25"/>
        <v>Br₂ (aq)</v>
      </c>
      <c r="AH171" t="s">
        <v>550</v>
      </c>
      <c r="AI171" t="s">
        <v>551</v>
      </c>
      <c r="AJ171" t="s">
        <v>551</v>
      </c>
      <c r="AK171" t="s">
        <v>555</v>
      </c>
      <c r="AL171" t="s">
        <v>552</v>
      </c>
      <c r="AS171" t="s">
        <v>48</v>
      </c>
      <c r="AX171" s="6">
        <v>159.81</v>
      </c>
      <c r="AY171" s="6" t="s">
        <v>556</v>
      </c>
      <c r="AZ171" s="6">
        <v>135.22999999999999</v>
      </c>
      <c r="BA171" s="6"/>
      <c r="BB171" s="6">
        <v>4.18</v>
      </c>
    </row>
    <row r="172" spans="32:55">
      <c r="AF172">
        <f t="shared" si="24"/>
        <v>0</v>
      </c>
      <c r="AG172" t="str">
        <f t="shared" si="25"/>
        <v>BrO₃⁻ (aq)</v>
      </c>
      <c r="AH172" t="s">
        <v>557</v>
      </c>
      <c r="AI172" t="s">
        <v>558</v>
      </c>
      <c r="AJ172" t="s">
        <v>558</v>
      </c>
      <c r="AL172" t="s">
        <v>559</v>
      </c>
      <c r="AS172" t="s">
        <v>48</v>
      </c>
      <c r="AX172" s="6">
        <v>127.91</v>
      </c>
      <c r="AY172" s="6" t="s">
        <v>560</v>
      </c>
      <c r="AZ172" s="6">
        <v>161.69999999999999</v>
      </c>
      <c r="BA172" s="6"/>
      <c r="BB172" s="6">
        <v>18.600000000000001</v>
      </c>
    </row>
    <row r="173" spans="32:55">
      <c r="AF173">
        <f t="shared" si="24"/>
        <v>0</v>
      </c>
      <c r="AG173" t="str">
        <f t="shared" si="25"/>
        <v>Br⁻ (g)</v>
      </c>
      <c r="AH173" t="s">
        <v>561</v>
      </c>
      <c r="AI173" t="s">
        <v>562</v>
      </c>
      <c r="AJ173" t="s">
        <v>562</v>
      </c>
      <c r="AL173" t="s">
        <v>563</v>
      </c>
      <c r="AS173" t="s">
        <v>47</v>
      </c>
      <c r="AX173" s="6">
        <v>79.900000000000006</v>
      </c>
      <c r="AY173" s="6">
        <v>-233.9</v>
      </c>
      <c r="AZ173" s="6">
        <v>163.4</v>
      </c>
      <c r="BA173" s="6"/>
      <c r="BB173" s="6">
        <v>-238.7</v>
      </c>
      <c r="BC173" s="6"/>
    </row>
    <row r="174" spans="32:55">
      <c r="AF174">
        <f t="shared" si="24"/>
        <v>0</v>
      </c>
      <c r="AG174" t="str">
        <f t="shared" si="25"/>
        <v>Br⁻ (aq)</v>
      </c>
      <c r="AH174" t="s">
        <v>561</v>
      </c>
      <c r="AI174" t="s">
        <v>562</v>
      </c>
      <c r="AJ174" t="s">
        <v>562</v>
      </c>
      <c r="AL174" t="s">
        <v>563</v>
      </c>
      <c r="AS174" t="s">
        <v>48</v>
      </c>
      <c r="AX174" s="6">
        <v>79.900000000000006</v>
      </c>
      <c r="AY174" s="6">
        <v>-121.55</v>
      </c>
      <c r="AZ174" s="6">
        <v>82.4</v>
      </c>
      <c r="BA174" s="6"/>
      <c r="BB174" s="6">
        <v>-104</v>
      </c>
      <c r="BC174" s="6"/>
    </row>
    <row r="175" spans="32:55">
      <c r="AF175">
        <f t="shared" si="24"/>
        <v>0</v>
      </c>
      <c r="AG175" t="str">
        <f t="shared" si="25"/>
        <v>HBr (g)</v>
      </c>
      <c r="AH175" t="s">
        <v>564</v>
      </c>
      <c r="AI175" t="s">
        <v>564</v>
      </c>
      <c r="AJ175" t="s">
        <v>564</v>
      </c>
      <c r="AL175" t="s">
        <v>565</v>
      </c>
      <c r="AS175" t="s">
        <v>47</v>
      </c>
      <c r="AX175" s="6">
        <v>80.91</v>
      </c>
      <c r="AY175" s="6" t="s">
        <v>566</v>
      </c>
      <c r="AZ175" s="6">
        <v>198.7</v>
      </c>
      <c r="BA175" s="6"/>
      <c r="BB175" s="6">
        <v>-53.4</v>
      </c>
    </row>
    <row r="176" spans="32:55">
      <c r="AF176">
        <f t="shared" si="24"/>
        <v>0</v>
      </c>
      <c r="AG176" t="str">
        <f t="shared" si="25"/>
        <v>HBr (aq)</v>
      </c>
      <c r="AH176" t="s">
        <v>564</v>
      </c>
      <c r="AI176" t="s">
        <v>564</v>
      </c>
      <c r="AJ176" t="s">
        <v>564</v>
      </c>
      <c r="AL176" t="s">
        <v>567</v>
      </c>
      <c r="AS176" t="s">
        <v>48</v>
      </c>
      <c r="AX176" s="6">
        <v>80.91</v>
      </c>
      <c r="AY176" s="6" t="s">
        <v>568</v>
      </c>
      <c r="AZ176" s="6" t="s">
        <v>168</v>
      </c>
      <c r="BA176" s="6"/>
      <c r="BB176" s="6">
        <v>-58.3</v>
      </c>
    </row>
    <row r="177" spans="32:55">
      <c r="AF177">
        <f t="shared" si="24"/>
        <v>0</v>
      </c>
      <c r="AG177" t="str">
        <f t="shared" si="25"/>
        <v>BrO⁻ (ap)</v>
      </c>
      <c r="AH177" t="s">
        <v>569</v>
      </c>
      <c r="AI177" t="s">
        <v>570</v>
      </c>
      <c r="AJ177" t="s">
        <v>570</v>
      </c>
      <c r="AL177" t="s">
        <v>571</v>
      </c>
      <c r="AS177" t="s">
        <v>572</v>
      </c>
      <c r="AX177" s="6">
        <v>95.91</v>
      </c>
      <c r="AY177" s="6" t="s">
        <v>573</v>
      </c>
      <c r="AZ177" s="6">
        <v>42</v>
      </c>
      <c r="BA177" s="6"/>
      <c r="BB177" s="6">
        <v>-33.5</v>
      </c>
    </row>
    <row r="178" spans="32:55">
      <c r="AF178">
        <f t="shared" si="24"/>
        <v>0</v>
      </c>
      <c r="AG178" t="str">
        <f t="shared" si="25"/>
        <v>Br₃⁻ (aq)</v>
      </c>
      <c r="AH178" t="s">
        <v>574</v>
      </c>
      <c r="AI178" t="s">
        <v>575</v>
      </c>
      <c r="AJ178" t="s">
        <v>575</v>
      </c>
      <c r="AL178" t="s">
        <v>576</v>
      </c>
      <c r="AS178" t="s">
        <v>48</v>
      </c>
      <c r="AX178" s="6">
        <v>239.73</v>
      </c>
      <c r="AY178" s="6" t="s">
        <v>577</v>
      </c>
      <c r="AZ178" s="6">
        <v>208</v>
      </c>
      <c r="BA178" s="6"/>
      <c r="BB178" s="6">
        <v>-105.77</v>
      </c>
    </row>
    <row r="179" spans="32:55">
      <c r="AF179">
        <f t="shared" si="24"/>
        <v>0</v>
      </c>
      <c r="AG179" t="str">
        <f t="shared" si="25"/>
        <v>Cd (s)</v>
      </c>
      <c r="AH179" t="s">
        <v>578</v>
      </c>
      <c r="AI179" t="s">
        <v>578</v>
      </c>
      <c r="AJ179" t="s">
        <v>578</v>
      </c>
      <c r="AL179" t="s">
        <v>579</v>
      </c>
      <c r="AS179" t="s">
        <v>160</v>
      </c>
      <c r="AX179" s="6">
        <v>112.4</v>
      </c>
      <c r="AY179" s="6" t="s">
        <v>161</v>
      </c>
      <c r="AZ179" s="6">
        <v>51.8</v>
      </c>
      <c r="BA179" s="6"/>
      <c r="BB179" s="6">
        <v>0</v>
      </c>
    </row>
    <row r="180" spans="32:55">
      <c r="AF180">
        <f t="shared" si="24"/>
        <v>0</v>
      </c>
      <c r="AG180" t="str">
        <f t="shared" si="25"/>
        <v>Cd²⁺ (g)</v>
      </c>
      <c r="AH180" t="s">
        <v>580</v>
      </c>
      <c r="AI180" t="s">
        <v>581</v>
      </c>
      <c r="AJ180" t="s">
        <v>581</v>
      </c>
      <c r="AL180" t="s">
        <v>582</v>
      </c>
      <c r="AS180" t="s">
        <v>47</v>
      </c>
      <c r="AX180" s="6">
        <v>112.4</v>
      </c>
      <c r="AY180" s="6" t="s">
        <v>583</v>
      </c>
      <c r="AZ180" s="6">
        <v>167.7</v>
      </c>
      <c r="BA180" s="6"/>
      <c r="BB180" s="6"/>
      <c r="BC180" s="6"/>
    </row>
    <row r="181" spans="32:55">
      <c r="AF181">
        <f t="shared" si="24"/>
        <v>0</v>
      </c>
      <c r="AG181" t="str">
        <f t="shared" si="25"/>
        <v>Cd²⁺ (aq)</v>
      </c>
      <c r="AH181" t="s">
        <v>580</v>
      </c>
      <c r="AI181" t="s">
        <v>581</v>
      </c>
      <c r="AJ181" t="s">
        <v>581</v>
      </c>
      <c r="AL181" t="s">
        <v>582</v>
      </c>
      <c r="AS181" t="s">
        <v>48</v>
      </c>
      <c r="AX181" s="6">
        <v>112.4</v>
      </c>
      <c r="AY181" s="6" t="s">
        <v>584</v>
      </c>
      <c r="AZ181" s="6">
        <v>-72.8</v>
      </c>
      <c r="BA181" s="6"/>
      <c r="BB181" s="6">
        <v>-77.61</v>
      </c>
    </row>
    <row r="182" spans="32:55">
      <c r="AF182">
        <f t="shared" si="24"/>
        <v>0</v>
      </c>
      <c r="AG182" t="str">
        <f t="shared" si="25"/>
        <v>CdBr₂ (s)</v>
      </c>
      <c r="AH182" t="s">
        <v>585</v>
      </c>
      <c r="AI182" t="s">
        <v>586</v>
      </c>
      <c r="AJ182" t="s">
        <v>586</v>
      </c>
      <c r="AL182" t="s">
        <v>587</v>
      </c>
      <c r="AS182" t="s">
        <v>160</v>
      </c>
      <c r="AX182" s="6">
        <v>272.22000000000003</v>
      </c>
      <c r="AY182" s="6" t="s">
        <v>588</v>
      </c>
      <c r="AZ182" s="6">
        <v>137.19999999999999</v>
      </c>
      <c r="BA182" s="6"/>
      <c r="BB182" s="6">
        <v>-296.31</v>
      </c>
    </row>
    <row r="183" spans="32:55">
      <c r="AF183">
        <f t="shared" si="24"/>
        <v>0</v>
      </c>
      <c r="AG183" t="str">
        <f t="shared" si="25"/>
        <v>CdBr₂∙4H₂O (s)</v>
      </c>
      <c r="AH183" t="s">
        <v>589</v>
      </c>
      <c r="AI183" t="s">
        <v>590</v>
      </c>
      <c r="AJ183" t="s">
        <v>591</v>
      </c>
      <c r="AL183" t="s">
        <v>592</v>
      </c>
      <c r="AS183" t="s">
        <v>160</v>
      </c>
      <c r="AX183" s="6">
        <v>344.28</v>
      </c>
      <c r="AY183" s="6" t="s">
        <v>593</v>
      </c>
      <c r="AZ183" s="6">
        <v>316.3</v>
      </c>
      <c r="BA183" s="6"/>
      <c r="BB183" s="6">
        <v>-1247.8399999999999</v>
      </c>
    </row>
    <row r="184" spans="32:55">
      <c r="AF184">
        <f t="shared" si="24"/>
        <v>0</v>
      </c>
      <c r="AG184" t="str">
        <f t="shared" si="25"/>
        <v>CdCl₂ (s)</v>
      </c>
      <c r="AH184" t="s">
        <v>594</v>
      </c>
      <c r="AI184" t="s">
        <v>595</v>
      </c>
      <c r="AJ184" t="s">
        <v>595</v>
      </c>
      <c r="AL184" t="s">
        <v>596</v>
      </c>
      <c r="AS184" t="s">
        <v>160</v>
      </c>
      <c r="AX184" s="6">
        <v>183.32</v>
      </c>
      <c r="AY184" s="6" t="s">
        <v>597</v>
      </c>
      <c r="AZ184" s="6">
        <v>115.3</v>
      </c>
      <c r="BA184" s="6"/>
      <c r="BB184" s="6">
        <v>-343.9</v>
      </c>
    </row>
    <row r="185" spans="32:55">
      <c r="AF185">
        <f t="shared" si="24"/>
        <v>0</v>
      </c>
      <c r="AG185" t="str">
        <f t="shared" si="25"/>
        <v>CdCl₂∙2H₂O (s)</v>
      </c>
      <c r="AH185" t="s">
        <v>598</v>
      </c>
      <c r="AI185" t="s">
        <v>599</v>
      </c>
      <c r="AJ185" t="s">
        <v>600</v>
      </c>
      <c r="AL185" t="s">
        <v>601</v>
      </c>
      <c r="AS185" t="s">
        <v>160</v>
      </c>
      <c r="AX185" s="6">
        <v>315.33999999999997</v>
      </c>
      <c r="AY185" s="6" t="s">
        <v>602</v>
      </c>
      <c r="AZ185" s="6">
        <v>227.2</v>
      </c>
      <c r="BA185" s="6"/>
      <c r="BB185" s="6">
        <v>-944.1</v>
      </c>
    </row>
    <row r="186" spans="32:55">
      <c r="AF186">
        <f t="shared" si="24"/>
        <v>0</v>
      </c>
      <c r="AG186" t="str">
        <f t="shared" si="25"/>
        <v>Cd(OH)₂ (s)</v>
      </c>
      <c r="AH186" t="s">
        <v>603</v>
      </c>
      <c r="AI186" t="s">
        <v>604</v>
      </c>
      <c r="AJ186" t="s">
        <v>605</v>
      </c>
      <c r="AL186" t="s">
        <v>606</v>
      </c>
      <c r="AS186" t="s">
        <v>160</v>
      </c>
      <c r="AX186" s="6">
        <v>146.41</v>
      </c>
      <c r="AY186" s="6" t="s">
        <v>607</v>
      </c>
      <c r="AZ186" s="6">
        <v>96</v>
      </c>
      <c r="BA186" s="6"/>
      <c r="BB186" s="6">
        <v>-473.6</v>
      </c>
    </row>
    <row r="187" spans="32:55">
      <c r="AF187">
        <f t="shared" si="24"/>
        <v>0</v>
      </c>
      <c r="AG187" t="str">
        <f t="shared" si="25"/>
        <v>CdI₂ (s)</v>
      </c>
      <c r="AH187" t="s">
        <v>608</v>
      </c>
      <c r="AI187" t="s">
        <v>609</v>
      </c>
      <c r="AJ187" t="s">
        <v>609</v>
      </c>
      <c r="AL187" t="s">
        <v>610</v>
      </c>
      <c r="AS187" t="s">
        <v>160</v>
      </c>
      <c r="AX187" s="6">
        <v>366.21</v>
      </c>
      <c r="AY187" s="6" t="s">
        <v>611</v>
      </c>
      <c r="AZ187" s="6">
        <v>161.1</v>
      </c>
      <c r="BA187" s="6"/>
      <c r="BB187" s="6">
        <v>-201.4</v>
      </c>
    </row>
    <row r="188" spans="32:55">
      <c r="AF188">
        <f t="shared" si="24"/>
        <v>0</v>
      </c>
      <c r="AG188" t="str">
        <f t="shared" si="25"/>
        <v>Cd(NO₃)₂ (s)</v>
      </c>
      <c r="AH188" t="s">
        <v>612</v>
      </c>
      <c r="AI188" t="s">
        <v>613</v>
      </c>
      <c r="AJ188" t="s">
        <v>614</v>
      </c>
      <c r="AL188" t="s">
        <v>615</v>
      </c>
      <c r="AS188" t="s">
        <v>160</v>
      </c>
      <c r="AX188" s="6">
        <v>236.41</v>
      </c>
      <c r="AY188" s="6" t="s">
        <v>616</v>
      </c>
      <c r="AZ188" s="6">
        <v>197.9</v>
      </c>
      <c r="BA188" s="6"/>
      <c r="BB188" s="6">
        <v>-255</v>
      </c>
    </row>
    <row r="189" spans="32:55">
      <c r="AF189">
        <f t="shared" si="24"/>
        <v>0</v>
      </c>
      <c r="AG189" t="str">
        <f t="shared" si="25"/>
        <v>Cd(NO₃)₂∙2H₂O (s)</v>
      </c>
      <c r="AH189" t="s">
        <v>617</v>
      </c>
      <c r="AI189" t="s">
        <v>618</v>
      </c>
      <c r="AJ189" t="s">
        <v>619</v>
      </c>
      <c r="AL189" t="s">
        <v>620</v>
      </c>
      <c r="AS189" t="s">
        <v>160</v>
      </c>
      <c r="AX189" s="6">
        <v>272.44</v>
      </c>
      <c r="AY189" s="6" t="s">
        <v>621</v>
      </c>
      <c r="AZ189" s="6" t="s">
        <v>168</v>
      </c>
      <c r="BA189" s="6"/>
      <c r="BB189" s="6">
        <v>-748.7</v>
      </c>
    </row>
    <row r="190" spans="32:55">
      <c r="AF190">
        <f t="shared" si="24"/>
        <v>0</v>
      </c>
      <c r="AG190" t="str">
        <f t="shared" si="25"/>
        <v>CdO (s)</v>
      </c>
      <c r="AH190" t="s">
        <v>622</v>
      </c>
      <c r="AI190" t="s">
        <v>622</v>
      </c>
      <c r="AJ190" t="s">
        <v>622</v>
      </c>
      <c r="AL190" t="s">
        <v>623</v>
      </c>
      <c r="AS190" t="s">
        <v>160</v>
      </c>
      <c r="AX190" s="6">
        <v>128.4</v>
      </c>
      <c r="AY190" s="6" t="s">
        <v>624</v>
      </c>
      <c r="AZ190" s="6">
        <v>54.8</v>
      </c>
      <c r="BA190" s="6"/>
      <c r="BB190" s="6">
        <v>-228.7</v>
      </c>
    </row>
    <row r="191" spans="32:55">
      <c r="AF191">
        <f t="shared" si="24"/>
        <v>0</v>
      </c>
      <c r="AG191" t="str">
        <f t="shared" si="25"/>
        <v>CdSO₄ (s)</v>
      </c>
      <c r="AH191" t="s">
        <v>625</v>
      </c>
      <c r="AI191" t="s">
        <v>626</v>
      </c>
      <c r="AJ191" t="s">
        <v>626</v>
      </c>
      <c r="AL191" t="s">
        <v>627</v>
      </c>
      <c r="AS191" t="s">
        <v>160</v>
      </c>
      <c r="AX191" s="6">
        <v>208.46</v>
      </c>
      <c r="AY191" s="6" t="s">
        <v>628</v>
      </c>
      <c r="AZ191" s="6">
        <v>123</v>
      </c>
      <c r="BA191" s="6"/>
      <c r="BB191" s="6">
        <v>-822.7</v>
      </c>
    </row>
    <row r="192" spans="32:55">
      <c r="AF192">
        <f t="shared" si="24"/>
        <v>0</v>
      </c>
      <c r="AG192" t="str">
        <f t="shared" si="25"/>
        <v>CdSO₄∙3/8H₂O (s)</v>
      </c>
      <c r="AH192" t="s">
        <v>629</v>
      </c>
      <c r="AI192" t="s">
        <v>630</v>
      </c>
      <c r="AJ192" t="s">
        <v>631</v>
      </c>
      <c r="AL192" t="s">
        <v>632</v>
      </c>
      <c r="AS192" t="s">
        <v>160</v>
      </c>
      <c r="AX192" s="6">
        <v>256.5</v>
      </c>
      <c r="AY192" s="6" t="s">
        <v>633</v>
      </c>
      <c r="AZ192" s="6">
        <v>229.65</v>
      </c>
      <c r="BA192" s="6"/>
      <c r="BB192" s="6">
        <v>-1464.94</v>
      </c>
    </row>
    <row r="193" spans="32:55">
      <c r="AF193">
        <f t="shared" si="24"/>
        <v>0</v>
      </c>
      <c r="AG193" t="str">
        <f t="shared" si="25"/>
        <v>CdS (s)</v>
      </c>
      <c r="AH193" t="s">
        <v>634</v>
      </c>
      <c r="AI193" t="s">
        <v>634</v>
      </c>
      <c r="AJ193" t="s">
        <v>634</v>
      </c>
      <c r="AL193" t="s">
        <v>635</v>
      </c>
      <c r="AS193" t="s">
        <v>160</v>
      </c>
      <c r="AX193" s="6">
        <v>144.46</v>
      </c>
      <c r="AY193" s="6" t="s">
        <v>636</v>
      </c>
      <c r="AZ193" s="6">
        <v>64.900000000000006</v>
      </c>
      <c r="BA193" s="6"/>
      <c r="BB193" s="6">
        <v>-156.5</v>
      </c>
    </row>
    <row r="194" spans="32:55">
      <c r="AF194">
        <f t="shared" si="24"/>
        <v>0</v>
      </c>
      <c r="AG194" t="str">
        <f t="shared" si="25"/>
        <v>Ca (s)</v>
      </c>
      <c r="AH194" t="s">
        <v>637</v>
      </c>
      <c r="AI194" t="s">
        <v>637</v>
      </c>
      <c r="AJ194" t="s">
        <v>637</v>
      </c>
      <c r="AL194" t="s">
        <v>638</v>
      </c>
      <c r="AS194" t="s">
        <v>160</v>
      </c>
      <c r="AX194" s="6">
        <v>40.08</v>
      </c>
      <c r="AY194" s="6" t="s">
        <v>161</v>
      </c>
      <c r="AZ194" s="6">
        <v>41.59</v>
      </c>
      <c r="BA194" s="6"/>
      <c r="BB194" s="6">
        <v>0</v>
      </c>
    </row>
    <row r="195" spans="32:55">
      <c r="AF195">
        <f t="shared" ref="AF195:AF258" si="26">IF(OR(AG195="",COUNTIF(AG:AG, AG195) = 1),0, "1")</f>
        <v>0</v>
      </c>
      <c r="AG195" t="str">
        <f t="shared" ref="AG195:AG258" si="27">IF(AS195 &lt;&gt; "",AH195&amp;" ("&amp;AS195 &amp;")","")</f>
        <v>Ca²⁺ (g)</v>
      </c>
      <c r="AH195" t="s">
        <v>639</v>
      </c>
      <c r="AI195" t="s">
        <v>640</v>
      </c>
      <c r="AJ195" t="s">
        <v>640</v>
      </c>
      <c r="AK195" t="s">
        <v>641</v>
      </c>
      <c r="AL195" t="s">
        <v>642</v>
      </c>
      <c r="AS195" t="s">
        <v>47</v>
      </c>
      <c r="AX195" s="6">
        <v>40.08</v>
      </c>
      <c r="AY195" s="6" t="s">
        <v>643</v>
      </c>
      <c r="AZ195" s="6">
        <v>154.80000000000001</v>
      </c>
      <c r="BA195" s="6"/>
      <c r="BB195" s="6"/>
      <c r="BC195" s="6"/>
    </row>
    <row r="196" spans="32:55">
      <c r="AF196">
        <f t="shared" si="26"/>
        <v>0</v>
      </c>
      <c r="AG196" t="str">
        <f t="shared" si="27"/>
        <v>Ca²⁺ (aq)</v>
      </c>
      <c r="AH196" t="s">
        <v>639</v>
      </c>
      <c r="AI196" t="s">
        <v>640</v>
      </c>
      <c r="AJ196" t="s">
        <v>640</v>
      </c>
      <c r="AL196" t="s">
        <v>642</v>
      </c>
      <c r="AS196" t="s">
        <v>48</v>
      </c>
      <c r="AX196" s="6">
        <v>40.08</v>
      </c>
      <c r="AY196" s="6" t="s">
        <v>644</v>
      </c>
      <c r="AZ196" s="6">
        <v>-56.2</v>
      </c>
      <c r="BA196" s="6"/>
      <c r="BB196" s="6">
        <v>-553.6</v>
      </c>
    </row>
    <row r="197" spans="32:55">
      <c r="AF197">
        <f t="shared" si="26"/>
        <v>0</v>
      </c>
      <c r="AG197" t="str">
        <f t="shared" si="27"/>
        <v>(CH₃COO)₂Ca∙H₂O (s)</v>
      </c>
      <c r="AH197" t="s">
        <v>645</v>
      </c>
      <c r="AI197" t="s">
        <v>646</v>
      </c>
      <c r="AJ197" t="s">
        <v>647</v>
      </c>
      <c r="AL197" t="s">
        <v>648</v>
      </c>
      <c r="AS197" t="s">
        <v>160</v>
      </c>
      <c r="AX197" s="6">
        <v>176.19</v>
      </c>
      <c r="AY197" s="6" t="s">
        <v>649</v>
      </c>
      <c r="AZ197" s="6" t="s">
        <v>168</v>
      </c>
      <c r="BA197" s="6"/>
      <c r="BB197" s="6"/>
      <c r="BC197" s="6"/>
    </row>
    <row r="198" spans="32:55">
      <c r="AF198">
        <f t="shared" si="26"/>
        <v>0</v>
      </c>
      <c r="AG198" t="str">
        <f t="shared" si="27"/>
        <v>CaAl₂Si₂O₈ (s)</v>
      </c>
      <c r="AH198" t="s">
        <v>650</v>
      </c>
      <c r="AI198" t="s">
        <v>651</v>
      </c>
      <c r="AJ198" t="s">
        <v>651</v>
      </c>
      <c r="AK198" t="s">
        <v>652</v>
      </c>
      <c r="AL198" t="s">
        <v>653</v>
      </c>
      <c r="AS198" t="s">
        <v>160</v>
      </c>
      <c r="AX198" s="6">
        <v>278.20999999999998</v>
      </c>
      <c r="AY198" s="6" t="s">
        <v>654</v>
      </c>
      <c r="AZ198" s="6">
        <v>202.5</v>
      </c>
      <c r="BA198" s="6"/>
      <c r="BB198" s="6">
        <v>-3997.8</v>
      </c>
    </row>
    <row r="199" spans="32:55">
      <c r="AF199">
        <f t="shared" si="26"/>
        <v>0</v>
      </c>
      <c r="AG199" t="str">
        <f t="shared" si="27"/>
        <v>CaBr₂ (s)</v>
      </c>
      <c r="AH199" t="s">
        <v>655</v>
      </c>
      <c r="AI199" t="s">
        <v>656</v>
      </c>
      <c r="AJ199" t="s">
        <v>656</v>
      </c>
      <c r="AL199" t="s">
        <v>657</v>
      </c>
      <c r="AS199" t="s">
        <v>160</v>
      </c>
      <c r="AX199" s="6">
        <v>199.89</v>
      </c>
      <c r="AY199" s="6" t="s">
        <v>658</v>
      </c>
      <c r="AZ199" s="6">
        <v>130</v>
      </c>
      <c r="BA199" s="6"/>
      <c r="BB199" s="6">
        <v>-663.6</v>
      </c>
    </row>
    <row r="200" spans="32:55">
      <c r="AF200">
        <f t="shared" si="26"/>
        <v>0</v>
      </c>
      <c r="AG200" t="str">
        <f t="shared" si="27"/>
        <v>CaC₂ (s)</v>
      </c>
      <c r="AH200" t="s">
        <v>659</v>
      </c>
      <c r="AI200" t="s">
        <v>660</v>
      </c>
      <c r="AJ200" t="s">
        <v>660</v>
      </c>
      <c r="AK200" t="s">
        <v>661</v>
      </c>
      <c r="AL200" t="s">
        <v>662</v>
      </c>
      <c r="AS200" t="s">
        <v>160</v>
      </c>
      <c r="AX200" s="6">
        <v>64.099999999999994</v>
      </c>
      <c r="AY200" s="6" t="s">
        <v>663</v>
      </c>
      <c r="AZ200" s="6">
        <v>69.959999999999994</v>
      </c>
      <c r="BA200" s="6"/>
      <c r="BB200" s="6">
        <v>-64.900000000000006</v>
      </c>
    </row>
    <row r="201" spans="32:55">
      <c r="AF201">
        <f t="shared" si="26"/>
        <v>0</v>
      </c>
      <c r="AG201" t="str">
        <f t="shared" si="27"/>
        <v>CaCO₃ (calcit) (s)</v>
      </c>
      <c r="AH201" t="s">
        <v>664</v>
      </c>
      <c r="AI201" t="s">
        <v>665</v>
      </c>
      <c r="AJ201" t="s">
        <v>666</v>
      </c>
      <c r="AL201" t="s">
        <v>667</v>
      </c>
      <c r="AS201" t="s">
        <v>160</v>
      </c>
      <c r="AX201" s="6">
        <v>100.09</v>
      </c>
      <c r="AY201" s="6" t="s">
        <v>668</v>
      </c>
      <c r="AZ201" s="6">
        <v>92.9</v>
      </c>
      <c r="BA201" s="6"/>
      <c r="BB201" s="6">
        <v>-1128.8399999999999</v>
      </c>
    </row>
    <row r="202" spans="32:55">
      <c r="AF202">
        <f t="shared" si="26"/>
        <v>0</v>
      </c>
      <c r="AG202" t="str">
        <f t="shared" si="27"/>
        <v>CaCO₃ (s)</v>
      </c>
      <c r="AH202" t="s">
        <v>669</v>
      </c>
      <c r="AI202" t="s">
        <v>670</v>
      </c>
      <c r="AJ202" t="s">
        <v>670</v>
      </c>
      <c r="AK202" t="s">
        <v>671</v>
      </c>
      <c r="AL202" t="s">
        <v>672</v>
      </c>
      <c r="AS202" t="s">
        <v>160</v>
      </c>
      <c r="AX202" s="6">
        <v>100.09</v>
      </c>
      <c r="AY202" s="6" t="s">
        <v>673</v>
      </c>
      <c r="AZ202" s="6">
        <v>88.7</v>
      </c>
      <c r="BA202" s="6"/>
      <c r="BB202" s="6">
        <v>-1127.83</v>
      </c>
    </row>
    <row r="203" spans="32:55">
      <c r="AF203">
        <f t="shared" si="26"/>
        <v>0</v>
      </c>
      <c r="AG203" t="str">
        <f t="shared" si="27"/>
        <v>CaCl₂ (s)</v>
      </c>
      <c r="AH203" t="s">
        <v>674</v>
      </c>
      <c r="AI203" t="s">
        <v>675</v>
      </c>
      <c r="AJ203" t="s">
        <v>675</v>
      </c>
      <c r="AL203" t="s">
        <v>676</v>
      </c>
      <c r="AS203" t="s">
        <v>160</v>
      </c>
      <c r="AX203" s="6">
        <v>110.99</v>
      </c>
      <c r="AY203" s="6" t="s">
        <v>677</v>
      </c>
      <c r="AZ203" s="6">
        <v>108.4</v>
      </c>
      <c r="BA203" s="6"/>
      <c r="BB203" s="6">
        <v>-748.8</v>
      </c>
    </row>
    <row r="204" spans="32:55">
      <c r="AF204">
        <f t="shared" si="26"/>
        <v>0</v>
      </c>
      <c r="AG204" t="str">
        <f t="shared" si="27"/>
        <v>CaCl₂∙6H₂O (s)</v>
      </c>
      <c r="AH204" t="s">
        <v>678</v>
      </c>
      <c r="AI204" t="s">
        <v>679</v>
      </c>
      <c r="AJ204" t="s">
        <v>680</v>
      </c>
      <c r="AL204" t="s">
        <v>681</v>
      </c>
      <c r="AS204" t="s">
        <v>160</v>
      </c>
      <c r="AX204" s="6">
        <v>219.08</v>
      </c>
      <c r="AY204" s="6" t="s">
        <v>682</v>
      </c>
      <c r="AZ204" s="6">
        <v>284.89999999999998</v>
      </c>
      <c r="BA204" s="6"/>
      <c r="BB204" s="6">
        <v>-2205</v>
      </c>
    </row>
    <row r="205" spans="32:55">
      <c r="AF205">
        <f t="shared" si="26"/>
        <v>0</v>
      </c>
      <c r="AG205" t="str">
        <f t="shared" si="27"/>
        <v>Ca(H₂PO₄)₂∙H₂O (s)</v>
      </c>
      <c r="AH205" t="s">
        <v>683</v>
      </c>
      <c r="AI205" t="s">
        <v>684</v>
      </c>
      <c r="AJ205" t="s">
        <v>685</v>
      </c>
      <c r="AL205" t="s">
        <v>686</v>
      </c>
      <c r="AS205" t="s">
        <v>160</v>
      </c>
      <c r="AX205" s="6">
        <v>252.07</v>
      </c>
      <c r="AY205" s="6" t="s">
        <v>687</v>
      </c>
      <c r="AZ205" s="6">
        <v>259.8</v>
      </c>
      <c r="BA205" s="6"/>
      <c r="BB205" s="6">
        <v>-3058.11</v>
      </c>
    </row>
    <row r="206" spans="32:55">
      <c r="AF206">
        <f t="shared" si="26"/>
        <v>0</v>
      </c>
      <c r="AG206" t="str">
        <f t="shared" si="27"/>
        <v>CaF₂ (s)</v>
      </c>
      <c r="AH206" t="s">
        <v>688</v>
      </c>
      <c r="AI206" t="s">
        <v>689</v>
      </c>
      <c r="AJ206" t="s">
        <v>689</v>
      </c>
      <c r="AK206" t="s">
        <v>690</v>
      </c>
      <c r="AL206" t="s">
        <v>691</v>
      </c>
      <c r="AS206" t="s">
        <v>160</v>
      </c>
      <c r="AX206" s="6">
        <v>78.08</v>
      </c>
      <c r="AY206" s="6" t="s">
        <v>692</v>
      </c>
      <c r="AZ206" s="6">
        <v>68.5</v>
      </c>
      <c r="BA206" s="6"/>
      <c r="BB206" s="6">
        <v>-1175.5999999999999</v>
      </c>
    </row>
    <row r="207" spans="32:55">
      <c r="AF207">
        <f t="shared" si="26"/>
        <v>0</v>
      </c>
      <c r="AG207" t="str">
        <f t="shared" si="27"/>
        <v>CaH₂ (s)</v>
      </c>
      <c r="AH207" t="s">
        <v>693</v>
      </c>
      <c r="AI207" t="s">
        <v>694</v>
      </c>
      <c r="AJ207" t="s">
        <v>694</v>
      </c>
      <c r="AL207" t="s">
        <v>695</v>
      </c>
      <c r="AS207" t="s">
        <v>160</v>
      </c>
      <c r="AX207" s="6">
        <v>42.09</v>
      </c>
      <c r="AY207" s="6" t="s">
        <v>696</v>
      </c>
      <c r="AZ207" s="6">
        <v>41.4</v>
      </c>
      <c r="BA207" s="6"/>
      <c r="BB207" s="6">
        <v>-142.5</v>
      </c>
    </row>
    <row r="208" spans="32:55">
      <c r="AF208">
        <f t="shared" si="26"/>
        <v>0</v>
      </c>
      <c r="AG208" t="str">
        <f t="shared" si="27"/>
        <v>CaHPO₄∙2H₂O (s)</v>
      </c>
      <c r="AH208" t="s">
        <v>697</v>
      </c>
      <c r="AI208" t="s">
        <v>698</v>
      </c>
      <c r="AJ208" t="s">
        <v>699</v>
      </c>
      <c r="AL208" t="s">
        <v>700</v>
      </c>
      <c r="AS208" t="s">
        <v>160</v>
      </c>
      <c r="AX208" s="6">
        <v>172.09</v>
      </c>
      <c r="AY208" s="6" t="s">
        <v>701</v>
      </c>
      <c r="AZ208" s="6">
        <v>189.45</v>
      </c>
      <c r="BA208" s="6"/>
      <c r="BB208" s="6">
        <v>-2154.65</v>
      </c>
    </row>
    <row r="209" spans="32:55">
      <c r="AF209">
        <f t="shared" si="26"/>
        <v>0</v>
      </c>
      <c r="AG209" t="str">
        <f t="shared" si="27"/>
        <v>Ca(OH)₂ (s)</v>
      </c>
      <c r="AH209" t="s">
        <v>702</v>
      </c>
      <c r="AI209" t="s">
        <v>703</v>
      </c>
      <c r="AJ209" t="s">
        <v>704</v>
      </c>
      <c r="AK209" t="s">
        <v>705</v>
      </c>
      <c r="AL209" t="s">
        <v>706</v>
      </c>
      <c r="AS209" t="s">
        <v>160</v>
      </c>
      <c r="AX209" s="6">
        <v>74.09</v>
      </c>
      <c r="AY209" s="6" t="s">
        <v>707</v>
      </c>
      <c r="AZ209" s="6">
        <v>83.4</v>
      </c>
      <c r="BA209" s="6"/>
      <c r="BB209" s="6">
        <v>-897.5</v>
      </c>
    </row>
    <row r="210" spans="32:55">
      <c r="AF210">
        <f t="shared" si="26"/>
        <v>0</v>
      </c>
      <c r="AG210" t="str">
        <f t="shared" si="27"/>
        <v>Ca₅(PO₄)₃(OH) (s)</v>
      </c>
      <c r="AH210" t="s">
        <v>708</v>
      </c>
      <c r="AI210" t="s">
        <v>709</v>
      </c>
      <c r="AJ210" t="s">
        <v>710</v>
      </c>
      <c r="AL210" t="s">
        <v>711</v>
      </c>
      <c r="AS210" t="s">
        <v>160</v>
      </c>
      <c r="AX210" s="6">
        <v>502.32</v>
      </c>
      <c r="AY210" s="6" t="s">
        <v>712</v>
      </c>
      <c r="AZ210" s="6">
        <v>390.3</v>
      </c>
      <c r="BA210" s="6"/>
      <c r="BB210" s="6">
        <v>-6339</v>
      </c>
    </row>
    <row r="211" spans="32:55">
      <c r="AF211">
        <f t="shared" si="26"/>
        <v>0</v>
      </c>
      <c r="AG211" t="str">
        <f t="shared" si="27"/>
        <v>Ca(ClO)₂ (aq)</v>
      </c>
      <c r="AH211" t="s">
        <v>713</v>
      </c>
      <c r="AI211" t="s">
        <v>714</v>
      </c>
      <c r="AJ211" t="s">
        <v>715</v>
      </c>
      <c r="AL211" t="s">
        <v>716</v>
      </c>
      <c r="AS211" t="s">
        <v>48</v>
      </c>
      <c r="AX211" s="6">
        <v>142.97999999999999</v>
      </c>
      <c r="AY211" s="6" t="s">
        <v>717</v>
      </c>
      <c r="AZ211" s="6" t="s">
        <v>168</v>
      </c>
      <c r="BA211" s="6"/>
      <c r="BB211" s="6" t="s">
        <v>168</v>
      </c>
      <c r="BC211" s="6"/>
    </row>
    <row r="212" spans="32:55">
      <c r="AF212">
        <f t="shared" si="26"/>
        <v>0</v>
      </c>
      <c r="AG212" t="str">
        <f t="shared" si="27"/>
        <v>CaI₂ (s)</v>
      </c>
      <c r="AH212" t="s">
        <v>718</v>
      </c>
      <c r="AI212" t="s">
        <v>719</v>
      </c>
      <c r="AJ212" t="s">
        <v>719</v>
      </c>
      <c r="AL212" t="s">
        <v>720</v>
      </c>
      <c r="AS212" t="s">
        <v>160</v>
      </c>
      <c r="AX212" s="6">
        <v>293.89</v>
      </c>
      <c r="AY212" s="6" t="s">
        <v>721</v>
      </c>
      <c r="AZ212" s="6">
        <v>142</v>
      </c>
      <c r="BA212" s="6"/>
      <c r="BB212" s="6">
        <v>-528.9</v>
      </c>
    </row>
    <row r="213" spans="32:55">
      <c r="AF213">
        <f t="shared" si="26"/>
        <v>0</v>
      </c>
      <c r="AG213" t="str">
        <f t="shared" si="27"/>
        <v>Ca(NO₃)₂ (s)</v>
      </c>
      <c r="AH213" t="s">
        <v>722</v>
      </c>
      <c r="AI213" t="s">
        <v>723</v>
      </c>
      <c r="AJ213" t="s">
        <v>724</v>
      </c>
      <c r="AK213" t="s">
        <v>725</v>
      </c>
      <c r="AL213" t="s">
        <v>726</v>
      </c>
      <c r="AS213" t="s">
        <v>160</v>
      </c>
      <c r="AX213" s="6">
        <v>164.09</v>
      </c>
      <c r="AY213" s="6" t="s">
        <v>727</v>
      </c>
      <c r="AZ213" s="6">
        <v>193.2</v>
      </c>
      <c r="BA213" s="6"/>
      <c r="BB213" s="6">
        <v>-742.8</v>
      </c>
    </row>
    <row r="214" spans="32:55">
      <c r="AF214">
        <f t="shared" si="26"/>
        <v>0</v>
      </c>
      <c r="AG214" t="str">
        <f t="shared" si="27"/>
        <v>Ca₃N₂ (s)</v>
      </c>
      <c r="AH214" t="s">
        <v>728</v>
      </c>
      <c r="AI214" t="s">
        <v>729</v>
      </c>
      <c r="AJ214" t="s">
        <v>729</v>
      </c>
      <c r="AL214" t="s">
        <v>730</v>
      </c>
      <c r="AS214" t="s">
        <v>160</v>
      </c>
      <c r="AX214" s="6">
        <v>148.25</v>
      </c>
      <c r="AY214" s="6" t="s">
        <v>731</v>
      </c>
      <c r="AZ214" s="6" t="s">
        <v>168</v>
      </c>
      <c r="BA214" s="6"/>
      <c r="BB214" s="6" t="s">
        <v>168</v>
      </c>
      <c r="BC214" s="6"/>
    </row>
    <row r="215" spans="32:55">
      <c r="AF215">
        <f t="shared" si="26"/>
        <v>0</v>
      </c>
      <c r="AG215" t="str">
        <f t="shared" si="27"/>
        <v>C₂O₄Ca (s)</v>
      </c>
      <c r="AH215" t="s">
        <v>732</v>
      </c>
      <c r="AI215" t="s">
        <v>733</v>
      </c>
      <c r="AJ215" t="s">
        <v>733</v>
      </c>
      <c r="AL215" t="s">
        <v>734</v>
      </c>
      <c r="AS215" t="s">
        <v>160</v>
      </c>
      <c r="AX215" s="6">
        <v>128.1</v>
      </c>
      <c r="AY215" s="6" t="s">
        <v>735</v>
      </c>
      <c r="AZ215" s="6" t="s">
        <v>168</v>
      </c>
      <c r="BA215" s="6"/>
      <c r="BB215" s="6" t="s">
        <v>168</v>
      </c>
      <c r="BC215" s="6"/>
    </row>
    <row r="216" spans="32:55">
      <c r="AF216">
        <f t="shared" si="26"/>
        <v>0</v>
      </c>
      <c r="AG216" t="str">
        <f t="shared" si="27"/>
        <v>C₂O₄Ca∙H₂O (s)</v>
      </c>
      <c r="AH216" t="s">
        <v>736</v>
      </c>
      <c r="AI216" t="s">
        <v>737</v>
      </c>
      <c r="AJ216" t="s">
        <v>738</v>
      </c>
      <c r="AL216" t="s">
        <v>739</v>
      </c>
      <c r="AS216" t="s">
        <v>160</v>
      </c>
      <c r="AX216" s="6">
        <v>146.11000000000001</v>
      </c>
      <c r="AY216" s="6" t="s">
        <v>740</v>
      </c>
      <c r="AZ216" s="6">
        <v>156.5</v>
      </c>
      <c r="BA216" s="6"/>
      <c r="BB216" s="6">
        <v>-1513.87</v>
      </c>
    </row>
    <row r="217" spans="32:55">
      <c r="AF217">
        <f t="shared" si="26"/>
        <v>0</v>
      </c>
      <c r="AG217" t="str">
        <f t="shared" si="27"/>
        <v>CaO (s)</v>
      </c>
      <c r="AH217" t="s">
        <v>741</v>
      </c>
      <c r="AI217" t="s">
        <v>741</v>
      </c>
      <c r="AJ217" t="s">
        <v>741</v>
      </c>
      <c r="AK217" t="s">
        <v>742</v>
      </c>
      <c r="AL217" t="s">
        <v>743</v>
      </c>
      <c r="AS217" t="s">
        <v>160</v>
      </c>
      <c r="AX217" s="6">
        <v>56.08</v>
      </c>
      <c r="AY217" s="6" t="s">
        <v>744</v>
      </c>
      <c r="AZ217" s="6">
        <v>38.1</v>
      </c>
      <c r="BA217" s="6"/>
      <c r="BB217" s="6">
        <v>-603.29999999999995</v>
      </c>
    </row>
    <row r="218" spans="32:55">
      <c r="AF218">
        <f t="shared" si="26"/>
        <v>0</v>
      </c>
      <c r="AG218" t="str">
        <f t="shared" si="27"/>
        <v/>
      </c>
      <c r="AH218" t="s">
        <v>745</v>
      </c>
      <c r="AI218" t="s">
        <v>746</v>
      </c>
      <c r="AJ218" t="s">
        <v>747</v>
      </c>
      <c r="AL218" t="s">
        <v>748</v>
      </c>
      <c r="AS218" t="s">
        <v>220</v>
      </c>
      <c r="AX218" s="6">
        <v>550.92999999999995</v>
      </c>
      <c r="AY218" s="6" t="s">
        <v>168</v>
      </c>
      <c r="AZ218" s="6" t="s">
        <v>168</v>
      </c>
      <c r="BA218" s="6"/>
      <c r="BB218" s="6" t="s">
        <v>168</v>
      </c>
      <c r="BC218" s="6"/>
    </row>
    <row r="219" spans="32:55">
      <c r="AF219">
        <f t="shared" si="26"/>
        <v>0</v>
      </c>
      <c r="AG219" t="str">
        <f t="shared" si="27"/>
        <v>CaO₂ (s)</v>
      </c>
      <c r="AH219" t="s">
        <v>749</v>
      </c>
      <c r="AI219" t="s">
        <v>750</v>
      </c>
      <c r="AJ219" t="s">
        <v>750</v>
      </c>
      <c r="AL219" t="s">
        <v>751</v>
      </c>
      <c r="AS219" t="s">
        <v>160</v>
      </c>
      <c r="AX219" s="6">
        <v>72.08</v>
      </c>
      <c r="AY219" s="6" t="s">
        <v>752</v>
      </c>
      <c r="AZ219" s="6" t="s">
        <v>168</v>
      </c>
      <c r="BA219" s="6"/>
      <c r="BB219" s="6" t="s">
        <v>168</v>
      </c>
      <c r="BC219" s="6"/>
    </row>
    <row r="220" spans="32:55">
      <c r="AF220">
        <f t="shared" si="26"/>
        <v>0</v>
      </c>
      <c r="AG220" t="str">
        <f t="shared" si="27"/>
        <v>Ca₃(PO₄)₂ (s)</v>
      </c>
      <c r="AH220" t="s">
        <v>753</v>
      </c>
      <c r="AI220" t="s">
        <v>754</v>
      </c>
      <c r="AJ220" t="s">
        <v>755</v>
      </c>
      <c r="AL220" t="s">
        <v>756</v>
      </c>
      <c r="AS220" t="s">
        <v>160</v>
      </c>
      <c r="AX220" s="6">
        <v>310.18</v>
      </c>
      <c r="AY220" s="6" t="s">
        <v>757</v>
      </c>
      <c r="AZ220" s="6">
        <v>240.91</v>
      </c>
      <c r="BA220" s="6"/>
      <c r="BB220" s="6">
        <v>-3875.5</v>
      </c>
    </row>
    <row r="221" spans="32:55">
      <c r="AF221">
        <f t="shared" si="26"/>
        <v>0</v>
      </c>
      <c r="AG221" t="str">
        <f t="shared" si="27"/>
        <v>Ca₃(PO₄)₂ (s2)</v>
      </c>
      <c r="AH221" t="s">
        <v>753</v>
      </c>
      <c r="AI221" t="s">
        <v>754</v>
      </c>
      <c r="AJ221" t="s">
        <v>755</v>
      </c>
      <c r="AL221" t="s">
        <v>756</v>
      </c>
      <c r="AS221" t="s">
        <v>5795</v>
      </c>
      <c r="AX221" s="6">
        <v>310.18</v>
      </c>
      <c r="AY221" s="6" t="s">
        <v>758</v>
      </c>
      <c r="AZ221" s="6">
        <v>236</v>
      </c>
      <c r="BA221" s="6"/>
      <c r="BB221" s="6">
        <v>-3884.7</v>
      </c>
    </row>
    <row r="222" spans="32:55">
      <c r="AF222">
        <f t="shared" si="26"/>
        <v>0</v>
      </c>
      <c r="AG222" t="str">
        <f t="shared" si="27"/>
        <v>(C₁₇H₃₅COO)₂Ca (s)</v>
      </c>
      <c r="AH222" t="s">
        <v>759</v>
      </c>
      <c r="AI222" t="s">
        <v>760</v>
      </c>
      <c r="AJ222" t="s">
        <v>761</v>
      </c>
      <c r="AL222" t="s">
        <v>762</v>
      </c>
      <c r="AS222" t="s">
        <v>160</v>
      </c>
      <c r="AX222" s="6">
        <v>607.02</v>
      </c>
      <c r="AY222" s="6" t="s">
        <v>168</v>
      </c>
      <c r="AZ222" s="6" t="s">
        <v>168</v>
      </c>
      <c r="BA222" s="6"/>
      <c r="BB222" s="6" t="s">
        <v>168</v>
      </c>
      <c r="BC222" s="6"/>
    </row>
    <row r="223" spans="32:55">
      <c r="AF223">
        <f t="shared" si="26"/>
        <v>0</v>
      </c>
      <c r="AG223" t="str">
        <f t="shared" si="27"/>
        <v>CaSO₄ (s)</v>
      </c>
      <c r="AH223" t="s">
        <v>763</v>
      </c>
      <c r="AI223" t="s">
        <v>764</v>
      </c>
      <c r="AJ223" t="s">
        <v>764</v>
      </c>
      <c r="AL223" t="s">
        <v>765</v>
      </c>
      <c r="AS223" t="s">
        <v>160</v>
      </c>
      <c r="AX223" s="6">
        <v>136.13999999999999</v>
      </c>
      <c r="AY223" s="6" t="s">
        <v>766</v>
      </c>
      <c r="AZ223" s="6">
        <v>106.5</v>
      </c>
      <c r="BA223" s="6"/>
      <c r="BB223" s="6">
        <v>-1322</v>
      </c>
    </row>
    <row r="224" spans="32:55">
      <c r="AF224">
        <f t="shared" si="26"/>
        <v>0</v>
      </c>
      <c r="AG224" t="str">
        <f t="shared" si="27"/>
        <v>CaSO₄ (s2)</v>
      </c>
      <c r="AH224" t="s">
        <v>763</v>
      </c>
      <c r="AI224" t="s">
        <v>764</v>
      </c>
      <c r="AJ224" t="s">
        <v>764</v>
      </c>
      <c r="AK224" t="s">
        <v>767</v>
      </c>
      <c r="AL224" t="s">
        <v>765</v>
      </c>
      <c r="AS224" t="s">
        <v>5795</v>
      </c>
      <c r="AX224" s="6">
        <v>136.13999999999999</v>
      </c>
      <c r="AY224" s="6" t="s">
        <v>768</v>
      </c>
      <c r="AZ224" s="6">
        <v>108.4</v>
      </c>
      <c r="BA224" s="6"/>
      <c r="BB224" s="6">
        <v>-1313.41</v>
      </c>
    </row>
    <row r="225" spans="32:55">
      <c r="AF225">
        <f t="shared" si="26"/>
        <v>0</v>
      </c>
      <c r="AG225" t="str">
        <f t="shared" si="27"/>
        <v>CaSO₄∙½H₂O (s)</v>
      </c>
      <c r="AH225" t="s">
        <v>769</v>
      </c>
      <c r="AI225" t="s">
        <v>770</v>
      </c>
      <c r="AJ225" t="s">
        <v>771</v>
      </c>
      <c r="AL225" t="s">
        <v>772</v>
      </c>
      <c r="AS225" t="s">
        <v>160</v>
      </c>
      <c r="AX225" s="6">
        <v>145.15</v>
      </c>
      <c r="AY225" s="6" t="s">
        <v>773</v>
      </c>
      <c r="AZ225" s="6">
        <v>130.5</v>
      </c>
      <c r="BA225" s="6"/>
      <c r="BB225" s="6">
        <v>-1436.69</v>
      </c>
    </row>
    <row r="226" spans="32:55">
      <c r="AF226">
        <f t="shared" si="26"/>
        <v>0</v>
      </c>
      <c r="AG226" t="str">
        <f t="shared" si="27"/>
        <v>CaSO₄∙2H₂O (s)</v>
      </c>
      <c r="AH226" t="s">
        <v>774</v>
      </c>
      <c r="AI226" t="s">
        <v>775</v>
      </c>
      <c r="AJ226" t="s">
        <v>776</v>
      </c>
      <c r="AK226" t="s">
        <v>777</v>
      </c>
      <c r="AL226" t="s">
        <v>778</v>
      </c>
      <c r="AS226" t="s">
        <v>160</v>
      </c>
      <c r="AX226" s="6">
        <v>172.17</v>
      </c>
      <c r="AY226" s="6" t="s">
        <v>779</v>
      </c>
      <c r="AZ226" s="6">
        <v>194.1</v>
      </c>
      <c r="BA226" s="6"/>
      <c r="BB226" s="6">
        <v>-1797.29</v>
      </c>
    </row>
    <row r="227" spans="32:55">
      <c r="AF227">
        <f t="shared" si="26"/>
        <v>0</v>
      </c>
      <c r="AG227" t="str">
        <f t="shared" si="27"/>
        <v>CaS (s)</v>
      </c>
      <c r="AH227" t="s">
        <v>780</v>
      </c>
      <c r="AI227" t="s">
        <v>780</v>
      </c>
      <c r="AJ227" t="s">
        <v>780</v>
      </c>
      <c r="AL227" t="s">
        <v>781</v>
      </c>
      <c r="AS227" t="s">
        <v>160</v>
      </c>
      <c r="AX227" s="6">
        <v>72.14</v>
      </c>
      <c r="AY227" s="6" t="s">
        <v>782</v>
      </c>
      <c r="AZ227" s="6">
        <v>56.5</v>
      </c>
      <c r="BA227" s="6"/>
      <c r="BB227" s="6">
        <v>-477.4</v>
      </c>
    </row>
    <row r="228" spans="32:55">
      <c r="AF228">
        <f t="shared" si="26"/>
        <v>0</v>
      </c>
      <c r="AG228" t="str">
        <f t="shared" si="27"/>
        <v>C (g)</v>
      </c>
      <c r="AH228" t="s">
        <v>783</v>
      </c>
      <c r="AI228" t="s">
        <v>783</v>
      </c>
      <c r="AJ228" t="s">
        <v>783</v>
      </c>
      <c r="AK228" t="s">
        <v>784</v>
      </c>
      <c r="AL228" t="s">
        <v>785</v>
      </c>
      <c r="AS228" t="s">
        <v>47</v>
      </c>
      <c r="AX228" s="6">
        <v>12.01</v>
      </c>
      <c r="AY228" s="6" t="s">
        <v>786</v>
      </c>
      <c r="AZ228" s="6">
        <v>158.1</v>
      </c>
      <c r="BA228" s="6"/>
      <c r="BB228" s="6">
        <v>672.98</v>
      </c>
    </row>
    <row r="229" spans="32:55">
      <c r="AF229">
        <f t="shared" si="26"/>
        <v>0</v>
      </c>
      <c r="AG229" t="str">
        <f t="shared" si="27"/>
        <v>C₂ (g)</v>
      </c>
      <c r="AH229" t="s">
        <v>787</v>
      </c>
      <c r="AI229" t="s">
        <v>788</v>
      </c>
      <c r="AJ229" t="s">
        <v>788</v>
      </c>
      <c r="AL229" t="s">
        <v>789</v>
      </c>
      <c r="AS229" t="s">
        <v>47</v>
      </c>
      <c r="AX229" s="6">
        <v>24.02</v>
      </c>
      <c r="AY229" s="6" t="s">
        <v>793</v>
      </c>
      <c r="AZ229" s="6">
        <v>199.4</v>
      </c>
      <c r="BA229" s="6"/>
      <c r="BB229" s="6">
        <v>775.9</v>
      </c>
    </row>
    <row r="230" spans="32:55">
      <c r="AF230">
        <f t="shared" si="26"/>
        <v>0</v>
      </c>
      <c r="AG230" t="str">
        <f t="shared" si="27"/>
        <v>C (s)</v>
      </c>
      <c r="AH230" t="s">
        <v>783</v>
      </c>
      <c r="AI230" t="s">
        <v>783</v>
      </c>
      <c r="AJ230" t="s">
        <v>783</v>
      </c>
      <c r="AL230" t="s">
        <v>790</v>
      </c>
      <c r="AS230" t="s">
        <v>160</v>
      </c>
      <c r="AX230" s="6">
        <v>12.01</v>
      </c>
      <c r="AY230" s="6" t="s">
        <v>161</v>
      </c>
      <c r="AZ230" s="6">
        <v>5.74</v>
      </c>
      <c r="BA230" s="6"/>
      <c r="BB230" s="6">
        <v>0</v>
      </c>
    </row>
    <row r="231" spans="32:55">
      <c r="AF231">
        <f t="shared" si="26"/>
        <v>0</v>
      </c>
      <c r="AG231" t="str">
        <f t="shared" si="27"/>
        <v>C (s2)</v>
      </c>
      <c r="AH231" t="s">
        <v>783</v>
      </c>
      <c r="AI231" t="s">
        <v>783</v>
      </c>
      <c r="AJ231" t="s">
        <v>783</v>
      </c>
      <c r="AL231" t="s">
        <v>792</v>
      </c>
      <c r="AS231" t="s">
        <v>5795</v>
      </c>
      <c r="AX231" s="6">
        <v>12.01</v>
      </c>
      <c r="AY231" s="6" t="s">
        <v>791</v>
      </c>
      <c r="AZ231" s="6">
        <v>2.3769999999999998</v>
      </c>
      <c r="BA231" s="6"/>
      <c r="BB231" s="6">
        <v>2.8319999999999999</v>
      </c>
    </row>
    <row r="232" spans="32:55">
      <c r="AF232">
        <f t="shared" si="26"/>
        <v>0</v>
      </c>
      <c r="AG232" t="str">
        <f t="shared" si="27"/>
        <v/>
      </c>
      <c r="AH232" t="s">
        <v>794</v>
      </c>
      <c r="AI232" t="s">
        <v>795</v>
      </c>
      <c r="AJ232" t="s">
        <v>795</v>
      </c>
      <c r="AL232" t="s">
        <v>796</v>
      </c>
      <c r="AS232" t="s">
        <v>220</v>
      </c>
      <c r="AX232" s="6">
        <v>720.64</v>
      </c>
      <c r="AY232" s="6" t="s">
        <v>168</v>
      </c>
      <c r="AZ232" s="6" t="s">
        <v>168</v>
      </c>
      <c r="BA232" s="6"/>
      <c r="BB232" s="6" t="s">
        <v>168</v>
      </c>
      <c r="BC232" s="6"/>
    </row>
    <row r="233" spans="32:55">
      <c r="AF233">
        <f t="shared" si="26"/>
        <v>0</v>
      </c>
      <c r="AG233" t="str">
        <f t="shared" si="27"/>
        <v>CO₂ (g)</v>
      </c>
      <c r="AH233" t="s">
        <v>797</v>
      </c>
      <c r="AI233" t="s">
        <v>798</v>
      </c>
      <c r="AJ233" t="s">
        <v>798</v>
      </c>
      <c r="AK233" t="s">
        <v>799</v>
      </c>
      <c r="AL233" t="s">
        <v>800</v>
      </c>
      <c r="AS233" t="s">
        <v>47</v>
      </c>
      <c r="AX233" s="6">
        <v>44.01</v>
      </c>
      <c r="AY233" s="6" t="s">
        <v>801</v>
      </c>
      <c r="AZ233" s="6">
        <v>213.785</v>
      </c>
      <c r="BA233" s="6"/>
      <c r="BB233" s="6">
        <v>-394.4</v>
      </c>
    </row>
    <row r="234" spans="32:55">
      <c r="AF234">
        <f t="shared" si="26"/>
        <v>0</v>
      </c>
      <c r="AG234" t="str">
        <f t="shared" si="27"/>
        <v>CO₂ (aq)</v>
      </c>
      <c r="AH234" t="s">
        <v>797</v>
      </c>
      <c r="AI234" t="s">
        <v>798</v>
      </c>
      <c r="AJ234" t="s">
        <v>798</v>
      </c>
      <c r="AK234" t="s">
        <v>802</v>
      </c>
      <c r="AL234" t="s">
        <v>800</v>
      </c>
      <c r="AS234" t="s">
        <v>48</v>
      </c>
      <c r="AX234" s="6">
        <v>44.01</v>
      </c>
      <c r="AY234" s="6" t="s">
        <v>803</v>
      </c>
      <c r="AZ234" s="6">
        <v>119.36</v>
      </c>
      <c r="BA234" s="6"/>
      <c r="BB234" s="6">
        <v>-386.2</v>
      </c>
    </row>
    <row r="235" spans="32:55">
      <c r="AF235">
        <f t="shared" si="26"/>
        <v>0</v>
      </c>
      <c r="AG235" t="str">
        <f t="shared" si="27"/>
        <v>H₂CO₃ (aq)</v>
      </c>
      <c r="AH235" t="s">
        <v>804</v>
      </c>
      <c r="AI235" t="s">
        <v>805</v>
      </c>
      <c r="AJ235" t="s">
        <v>805</v>
      </c>
      <c r="AK235" t="s">
        <v>806</v>
      </c>
      <c r="AL235" t="s">
        <v>807</v>
      </c>
      <c r="AS235" t="s">
        <v>48</v>
      </c>
      <c r="AX235" s="6">
        <v>62.02</v>
      </c>
      <c r="AY235" s="6" t="s">
        <v>808</v>
      </c>
      <c r="AZ235" s="6">
        <v>191</v>
      </c>
      <c r="BA235" s="6"/>
      <c r="BB235" s="6">
        <v>-623.41999999999996</v>
      </c>
    </row>
    <row r="236" spans="32:55">
      <c r="AF236">
        <f t="shared" si="26"/>
        <v>0</v>
      </c>
      <c r="AG236" t="str">
        <f t="shared" si="27"/>
        <v>HCO₃⁻ (aq)</v>
      </c>
      <c r="AH236" t="s">
        <v>809</v>
      </c>
      <c r="AI236" t="s">
        <v>810</v>
      </c>
      <c r="AJ236" t="s">
        <v>810</v>
      </c>
      <c r="AL236" t="s">
        <v>811</v>
      </c>
      <c r="AS236" t="s">
        <v>48</v>
      </c>
      <c r="AX236" s="6">
        <v>61.02</v>
      </c>
      <c r="AY236" s="6" t="s">
        <v>812</v>
      </c>
      <c r="AZ236" s="6">
        <v>91.2</v>
      </c>
      <c r="BA236" s="6"/>
      <c r="BB236" s="6">
        <v>-585.79999999999995</v>
      </c>
    </row>
    <row r="237" spans="32:55">
      <c r="AF237">
        <f t="shared" si="26"/>
        <v>0</v>
      </c>
      <c r="AG237" t="str">
        <f t="shared" si="27"/>
        <v>CO₃²⁻ (aq)</v>
      </c>
      <c r="AH237" t="s">
        <v>813</v>
      </c>
      <c r="AI237" t="s">
        <v>814</v>
      </c>
      <c r="AJ237" t="s">
        <v>814</v>
      </c>
      <c r="AL237" t="s">
        <v>815</v>
      </c>
      <c r="AS237" t="s">
        <v>48</v>
      </c>
      <c r="AX237" s="6">
        <v>60.01</v>
      </c>
      <c r="AY237" s="6" t="s">
        <v>816</v>
      </c>
      <c r="AZ237" s="6">
        <v>-50</v>
      </c>
      <c r="BA237" s="6"/>
      <c r="BB237" s="6">
        <v>-527.79999999999995</v>
      </c>
    </row>
    <row r="238" spans="32:55">
      <c r="AF238">
        <f t="shared" si="26"/>
        <v>0</v>
      </c>
      <c r="AG238" t="str">
        <f t="shared" si="27"/>
        <v>CS₂ (l)</v>
      </c>
      <c r="AH238" t="s">
        <v>817</v>
      </c>
      <c r="AI238" t="s">
        <v>818</v>
      </c>
      <c r="AJ238" t="s">
        <v>818</v>
      </c>
      <c r="AL238" t="s">
        <v>819</v>
      </c>
      <c r="AS238" t="s">
        <v>239</v>
      </c>
      <c r="AX238" s="6">
        <v>76.14</v>
      </c>
      <c r="AY238" s="6" t="s">
        <v>820</v>
      </c>
      <c r="AZ238" s="6">
        <v>151.34</v>
      </c>
      <c r="BA238" s="6"/>
      <c r="BB238" s="6">
        <v>63.6</v>
      </c>
    </row>
    <row r="239" spans="32:55">
      <c r="AF239">
        <f t="shared" si="26"/>
        <v>0</v>
      </c>
      <c r="AG239" t="str">
        <f t="shared" si="27"/>
        <v>CO (g)</v>
      </c>
      <c r="AH239" t="s">
        <v>821</v>
      </c>
      <c r="AI239" t="s">
        <v>821</v>
      </c>
      <c r="AJ239" t="s">
        <v>821</v>
      </c>
      <c r="AK239" t="s">
        <v>822</v>
      </c>
      <c r="AL239" t="s">
        <v>823</v>
      </c>
      <c r="AS239" t="s">
        <v>47</v>
      </c>
      <c r="AX239" s="6">
        <v>28.01</v>
      </c>
      <c r="AY239" s="6" t="s">
        <v>824</v>
      </c>
      <c r="AZ239" s="6">
        <v>197.66</v>
      </c>
      <c r="BA239" s="6"/>
      <c r="BB239" s="6">
        <v>-137.25</v>
      </c>
    </row>
    <row r="240" spans="32:55">
      <c r="AF240">
        <f t="shared" si="26"/>
        <v>0</v>
      </c>
      <c r="AG240" t="str">
        <f t="shared" si="27"/>
        <v>COCl₂ (g)</v>
      </c>
      <c r="AH240" t="s">
        <v>825</v>
      </c>
      <c r="AI240" t="s">
        <v>826</v>
      </c>
      <c r="AJ240" t="s">
        <v>826</v>
      </c>
      <c r="AK240" t="s">
        <v>827</v>
      </c>
      <c r="AL240" t="s">
        <v>828</v>
      </c>
      <c r="AS240" t="s">
        <v>47</v>
      </c>
      <c r="AX240" s="6">
        <v>98.92</v>
      </c>
      <c r="AY240" s="6" t="s">
        <v>829</v>
      </c>
      <c r="AZ240" s="6">
        <v>283.5</v>
      </c>
      <c r="BA240" s="6"/>
      <c r="BB240" s="6">
        <v>-204.9</v>
      </c>
    </row>
    <row r="241" spans="31:55">
      <c r="AF241">
        <f t="shared" ref="AF241" si="28">IF(OR(AG241="",COUNTIF(AG:AG, AG241) = 1),0, "1")</f>
        <v>0</v>
      </c>
      <c r="AG241" t="str">
        <f t="shared" si="27"/>
        <v>COS (g)</v>
      </c>
      <c r="AH241" t="s">
        <v>830</v>
      </c>
      <c r="AI241" t="s">
        <v>830</v>
      </c>
      <c r="AJ241" t="s">
        <v>830</v>
      </c>
      <c r="AL241" t="s">
        <v>831</v>
      </c>
      <c r="AS241" t="s">
        <v>47</v>
      </c>
      <c r="AX241" s="6">
        <v>60.08</v>
      </c>
      <c r="AY241" s="6" t="s">
        <v>832</v>
      </c>
      <c r="AZ241" s="6">
        <v>231.8</v>
      </c>
      <c r="BA241" s="6"/>
      <c r="BB241" s="6">
        <v>-169.2</v>
      </c>
    </row>
    <row r="242" spans="31:55">
      <c r="AE242">
        <f>COUNT(AG:AG, AG242)</f>
        <v>0</v>
      </c>
      <c r="AF242" t="str">
        <f t="shared" ref="AF242" si="29">IF(OR(AG242="",COUNTIF(AG:AG, AG242) = 1),0, "1")</f>
        <v>1</v>
      </c>
      <c r="AG242" t="str">
        <f t="shared" si="27"/>
        <v>HCN (g)</v>
      </c>
      <c r="AH242" t="s">
        <v>833</v>
      </c>
      <c r="AI242" t="s">
        <v>833</v>
      </c>
      <c r="AJ242" t="s">
        <v>833</v>
      </c>
      <c r="AL242" t="s">
        <v>834</v>
      </c>
      <c r="AS242" t="s">
        <v>47</v>
      </c>
      <c r="AX242" s="6">
        <v>27.03</v>
      </c>
      <c r="AY242" s="6" t="s">
        <v>835</v>
      </c>
      <c r="AZ242" s="6">
        <v>201.8</v>
      </c>
      <c r="BA242" s="6"/>
      <c r="BB242" s="6">
        <v>124.7</v>
      </c>
    </row>
    <row r="243" spans="31:55">
      <c r="AF243">
        <f t="shared" ref="AF243" si="30">IF(OR(AG243="",COUNTIF(AG:AG, AG243) = 1),0, "1")</f>
        <v>0</v>
      </c>
      <c r="AG243" t="str">
        <f t="shared" si="27"/>
        <v>HCN (aq)</v>
      </c>
      <c r="AH243" t="s">
        <v>833</v>
      </c>
      <c r="AI243" t="s">
        <v>833</v>
      </c>
      <c r="AJ243" t="s">
        <v>833</v>
      </c>
      <c r="AK243" t="s">
        <v>836</v>
      </c>
      <c r="AL243" t="s">
        <v>834</v>
      </c>
      <c r="AS243" t="s">
        <v>48</v>
      </c>
      <c r="AX243" s="6">
        <v>27.03</v>
      </c>
      <c r="AY243" s="6" t="s">
        <v>837</v>
      </c>
      <c r="AZ243" s="6">
        <v>94.1</v>
      </c>
      <c r="BA243" s="6"/>
      <c r="BB243" s="6">
        <v>172.4</v>
      </c>
    </row>
    <row r="244" spans="31:55">
      <c r="AF244">
        <f t="shared" ref="AF244" si="31">IF(OR(AG244="",COUNTIF(AG:AG, AG244) = 1),0, "1")</f>
        <v>0</v>
      </c>
      <c r="AG244" t="str">
        <f t="shared" si="27"/>
        <v>CN⁻ (aq)</v>
      </c>
      <c r="AH244" t="s">
        <v>838</v>
      </c>
      <c r="AI244" t="s">
        <v>839</v>
      </c>
      <c r="AJ244" t="s">
        <v>839</v>
      </c>
      <c r="AL244" t="s">
        <v>840</v>
      </c>
      <c r="AS244" t="s">
        <v>48</v>
      </c>
      <c r="AX244" s="6">
        <v>26.02</v>
      </c>
      <c r="AY244" s="6" t="s">
        <v>837</v>
      </c>
      <c r="AZ244" s="6">
        <v>94.1</v>
      </c>
      <c r="BA244" s="6"/>
      <c r="BB244" s="6">
        <v>172.4</v>
      </c>
    </row>
    <row r="245" spans="31:55">
      <c r="AF245">
        <f t="shared" si="26"/>
        <v>0</v>
      </c>
      <c r="AG245" t="str">
        <f t="shared" si="27"/>
        <v>OCN⁻ (aq)</v>
      </c>
      <c r="AH245" t="s">
        <v>841</v>
      </c>
      <c r="AI245" t="s">
        <v>842</v>
      </c>
      <c r="AJ245" t="s">
        <v>842</v>
      </c>
      <c r="AL245" t="s">
        <v>843</v>
      </c>
      <c r="AS245" t="s">
        <v>48</v>
      </c>
      <c r="AX245" s="6">
        <v>42.02</v>
      </c>
      <c r="AY245" s="6" t="s">
        <v>844</v>
      </c>
      <c r="AZ245" s="6">
        <v>106.7</v>
      </c>
      <c r="BA245" s="6"/>
      <c r="BB245" s="6">
        <v>-97.4</v>
      </c>
    </row>
    <row r="246" spans="31:55">
      <c r="AF246">
        <f t="shared" si="26"/>
        <v>0</v>
      </c>
      <c r="AG246" t="str">
        <f t="shared" si="27"/>
        <v>(CN)₂ (g)</v>
      </c>
      <c r="AH246" t="s">
        <v>845</v>
      </c>
      <c r="AI246" t="s">
        <v>846</v>
      </c>
      <c r="AJ246" t="s">
        <v>847</v>
      </c>
      <c r="AL246" t="s">
        <v>848</v>
      </c>
      <c r="AS246" t="s">
        <v>47</v>
      </c>
      <c r="AX246" s="6">
        <v>52.04</v>
      </c>
      <c r="AY246" s="6" t="s">
        <v>849</v>
      </c>
      <c r="AZ246" s="6">
        <v>241.9</v>
      </c>
      <c r="BA246" s="6"/>
      <c r="BB246" s="6">
        <v>296.3</v>
      </c>
    </row>
    <row r="247" spans="31:55">
      <c r="AF247">
        <f t="shared" si="26"/>
        <v>0</v>
      </c>
      <c r="AG247" t="str">
        <f t="shared" si="27"/>
        <v>SCN⁻ (aq)</v>
      </c>
      <c r="AH247" t="s">
        <v>850</v>
      </c>
      <c r="AI247" t="s">
        <v>851</v>
      </c>
      <c r="AJ247" t="s">
        <v>851</v>
      </c>
      <c r="AL247" t="s">
        <v>852</v>
      </c>
      <c r="AS247" t="s">
        <v>48</v>
      </c>
      <c r="AX247" s="6">
        <v>58.08</v>
      </c>
      <c r="AY247" s="6" t="s">
        <v>853</v>
      </c>
      <c r="AZ247" s="6">
        <v>144.30000000000001</v>
      </c>
      <c r="BA247" s="6"/>
      <c r="BB247" s="6">
        <v>92.7</v>
      </c>
    </row>
    <row r="248" spans="31:55">
      <c r="AF248">
        <f t="shared" si="26"/>
        <v>0</v>
      </c>
      <c r="AG248" t="str">
        <f t="shared" si="27"/>
        <v>Ce (s)</v>
      </c>
      <c r="AH248" t="s">
        <v>854</v>
      </c>
      <c r="AI248" t="s">
        <v>854</v>
      </c>
      <c r="AJ248" t="s">
        <v>854</v>
      </c>
      <c r="AL248" t="s">
        <v>855</v>
      </c>
      <c r="AS248" t="s">
        <v>160</v>
      </c>
      <c r="AX248" s="6">
        <v>140.12</v>
      </c>
      <c r="AY248" s="6" t="s">
        <v>161</v>
      </c>
      <c r="AZ248" s="6">
        <v>72</v>
      </c>
      <c r="BA248" s="6"/>
      <c r="BB248" s="6">
        <v>0</v>
      </c>
    </row>
    <row r="249" spans="31:55">
      <c r="AF249">
        <f t="shared" si="26"/>
        <v>0</v>
      </c>
      <c r="AG249" t="str">
        <f t="shared" si="27"/>
        <v>Ce³⁺ (aq)</v>
      </c>
      <c r="AH249" t="s">
        <v>856</v>
      </c>
      <c r="AI249" t="s">
        <v>857</v>
      </c>
      <c r="AJ249" t="s">
        <v>857</v>
      </c>
      <c r="AL249" t="s">
        <v>858</v>
      </c>
      <c r="AS249" t="s">
        <v>48</v>
      </c>
      <c r="AX249" s="6">
        <v>140.12</v>
      </c>
      <c r="AY249" s="6" t="s">
        <v>859</v>
      </c>
      <c r="AZ249" s="6">
        <v>-205</v>
      </c>
      <c r="BA249" s="6"/>
      <c r="BB249" s="6">
        <v>-672</v>
      </c>
    </row>
    <row r="250" spans="31:55">
      <c r="AF250">
        <f t="shared" si="26"/>
        <v>0</v>
      </c>
      <c r="AG250" t="str">
        <f t="shared" si="27"/>
        <v>Ce⁴⁺ (aq)</v>
      </c>
      <c r="AH250" t="s">
        <v>860</v>
      </c>
      <c r="AI250" t="s">
        <v>861</v>
      </c>
      <c r="AJ250" t="s">
        <v>861</v>
      </c>
      <c r="AL250" t="s">
        <v>862</v>
      </c>
      <c r="AS250" t="s">
        <v>48</v>
      </c>
      <c r="AX250" s="6">
        <v>140.12</v>
      </c>
      <c r="AY250" s="6" t="s">
        <v>863</v>
      </c>
      <c r="AZ250" s="6">
        <v>-301</v>
      </c>
      <c r="BA250" s="6"/>
      <c r="BB250" s="6">
        <v>-503.8</v>
      </c>
    </row>
    <row r="251" spans="31:55">
      <c r="AF251">
        <f t="shared" si="26"/>
        <v>0</v>
      </c>
      <c r="AG251" t="str">
        <f t="shared" si="27"/>
        <v>CeCl₃ (s)</v>
      </c>
      <c r="AH251" t="s">
        <v>864</v>
      </c>
      <c r="AI251" t="s">
        <v>865</v>
      </c>
      <c r="AJ251" t="s">
        <v>865</v>
      </c>
      <c r="AL251" t="s">
        <v>866</v>
      </c>
      <c r="AS251" t="s">
        <v>160</v>
      </c>
      <c r="AX251" s="6">
        <v>246.48</v>
      </c>
      <c r="AY251" s="6" t="s">
        <v>867</v>
      </c>
      <c r="AZ251" s="6">
        <v>151</v>
      </c>
      <c r="BA251" s="6"/>
      <c r="BB251" s="6">
        <v>-1060.5</v>
      </c>
    </row>
    <row r="252" spans="31:55">
      <c r="AF252">
        <f t="shared" si="26"/>
        <v>0</v>
      </c>
      <c r="AG252" t="str">
        <f t="shared" si="27"/>
        <v>Ce(NO₃)₃∙6H₂O (s)</v>
      </c>
      <c r="AH252" t="s">
        <v>868</v>
      </c>
      <c r="AI252" t="s">
        <v>869</v>
      </c>
      <c r="AJ252" t="s">
        <v>870</v>
      </c>
      <c r="AL252" t="s">
        <v>871</v>
      </c>
      <c r="AS252" t="s">
        <v>160</v>
      </c>
      <c r="AX252" s="6">
        <v>434.23</v>
      </c>
      <c r="AY252" s="6" t="s">
        <v>872</v>
      </c>
      <c r="AZ252" s="6" t="s">
        <v>168</v>
      </c>
      <c r="BA252" s="6"/>
      <c r="BB252" s="6" t="s">
        <v>168</v>
      </c>
      <c r="BC252" s="6"/>
    </row>
    <row r="253" spans="31:55">
      <c r="AF253">
        <f t="shared" si="26"/>
        <v>0</v>
      </c>
      <c r="AG253" t="str">
        <f t="shared" si="27"/>
        <v/>
      </c>
      <c r="AH253" t="s">
        <v>873</v>
      </c>
      <c r="AI253" t="s">
        <v>874</v>
      </c>
      <c r="AJ253" t="s">
        <v>875</v>
      </c>
      <c r="AL253" t="s">
        <v>876</v>
      </c>
      <c r="AS253" t="s">
        <v>220</v>
      </c>
      <c r="AX253" s="6">
        <v>397.19</v>
      </c>
      <c r="AY253" s="6" t="s">
        <v>168</v>
      </c>
      <c r="AZ253" s="6" t="s">
        <v>168</v>
      </c>
      <c r="BA253" s="6"/>
      <c r="BB253" s="6" t="s">
        <v>168</v>
      </c>
      <c r="BC253" s="6"/>
    </row>
    <row r="254" spans="31:55">
      <c r="AF254">
        <f t="shared" si="26"/>
        <v>0</v>
      </c>
      <c r="AG254" t="str">
        <f t="shared" si="27"/>
        <v>Ce₂O₃ (s)</v>
      </c>
      <c r="AH254" t="s">
        <v>877</v>
      </c>
      <c r="AI254" t="s">
        <v>878</v>
      </c>
      <c r="AJ254" t="s">
        <v>878</v>
      </c>
      <c r="AL254" t="s">
        <v>879</v>
      </c>
      <c r="AS254" t="s">
        <v>160</v>
      </c>
      <c r="AX254" s="6">
        <v>328.24</v>
      </c>
      <c r="AY254" s="6" t="s">
        <v>880</v>
      </c>
      <c r="AZ254" s="6">
        <v>150.6</v>
      </c>
      <c r="BA254" s="6"/>
      <c r="BB254" s="6">
        <v>-1706.2</v>
      </c>
    </row>
    <row r="255" spans="31:55">
      <c r="AF255">
        <f t="shared" si="26"/>
        <v>0</v>
      </c>
      <c r="AG255" t="str">
        <f t="shared" si="27"/>
        <v>Ce₂(SO₄)₃ (s)</v>
      </c>
      <c r="AH255" t="s">
        <v>881</v>
      </c>
      <c r="AI255" t="s">
        <v>882</v>
      </c>
      <c r="AJ255" t="s">
        <v>883</v>
      </c>
      <c r="AL255" t="s">
        <v>884</v>
      </c>
      <c r="AS255" t="s">
        <v>160</v>
      </c>
      <c r="AX255" s="6">
        <v>568.41999999999996</v>
      </c>
      <c r="AY255" s="6" t="s">
        <v>885</v>
      </c>
      <c r="AZ255" s="6" t="s">
        <v>168</v>
      </c>
      <c r="BA255" s="6"/>
      <c r="BB255" s="6" t="s">
        <v>168</v>
      </c>
      <c r="BC255" s="6"/>
    </row>
    <row r="256" spans="31:55">
      <c r="AF256">
        <f t="shared" si="26"/>
        <v>0</v>
      </c>
      <c r="AG256" t="str">
        <f t="shared" si="27"/>
        <v>Ce(SO₄)₂ (s)</v>
      </c>
      <c r="AH256" t="s">
        <v>886</v>
      </c>
      <c r="AI256" t="s">
        <v>887</v>
      </c>
      <c r="AJ256" t="s">
        <v>888</v>
      </c>
      <c r="AL256" t="s">
        <v>889</v>
      </c>
      <c r="AS256" t="s">
        <v>160</v>
      </c>
      <c r="AX256" s="6">
        <v>332.24</v>
      </c>
      <c r="AY256" s="6" t="s">
        <v>890</v>
      </c>
      <c r="AZ256" s="6" t="s">
        <v>168</v>
      </c>
      <c r="BA256" s="6"/>
      <c r="BB256" s="6" t="s">
        <v>168</v>
      </c>
      <c r="BC256" s="6"/>
    </row>
    <row r="257" spans="32:55">
      <c r="AF257">
        <f t="shared" si="26"/>
        <v>0</v>
      </c>
      <c r="AG257" t="str">
        <f t="shared" si="27"/>
        <v>Cl (g)</v>
      </c>
      <c r="AH257" t="s">
        <v>891</v>
      </c>
      <c r="AI257" t="s">
        <v>891</v>
      </c>
      <c r="AJ257" t="s">
        <v>891</v>
      </c>
      <c r="AK257" t="s">
        <v>892</v>
      </c>
      <c r="AL257" t="s">
        <v>893</v>
      </c>
      <c r="AS257" t="s">
        <v>47</v>
      </c>
      <c r="AX257" s="6">
        <v>35.450000000000003</v>
      </c>
      <c r="AY257" s="6" t="s">
        <v>894</v>
      </c>
      <c r="AZ257" s="6">
        <v>165.19</v>
      </c>
      <c r="BA257" s="6"/>
      <c r="BB257" s="6">
        <v>105.3</v>
      </c>
    </row>
    <row r="258" spans="32:55">
      <c r="AF258">
        <f t="shared" si="26"/>
        <v>0</v>
      </c>
      <c r="AG258" t="str">
        <f t="shared" si="27"/>
        <v>Cl₂ (g)</v>
      </c>
      <c r="AH258" t="s">
        <v>895</v>
      </c>
      <c r="AI258" t="s">
        <v>896</v>
      </c>
      <c r="AJ258" t="s">
        <v>896</v>
      </c>
      <c r="AK258" t="s">
        <v>897</v>
      </c>
      <c r="AL258" t="s">
        <v>898</v>
      </c>
      <c r="AS258" t="s">
        <v>47</v>
      </c>
      <c r="AX258" s="6">
        <v>70.91</v>
      </c>
      <c r="AY258" s="6" t="s">
        <v>161</v>
      </c>
      <c r="AZ258" s="6">
        <v>223.08</v>
      </c>
      <c r="BA258" s="6"/>
      <c r="BB258" s="6">
        <v>0</v>
      </c>
    </row>
    <row r="259" spans="32:55">
      <c r="AF259">
        <f t="shared" ref="AF259:AF322" si="32">IF(OR(AG259="",COUNTIF(AG:AG, AG259) = 1),0, "1")</f>
        <v>0</v>
      </c>
      <c r="AG259" t="str">
        <f t="shared" ref="AG259:AG322" si="33">IF(AS259 &lt;&gt; "",AH259&amp;" ("&amp;AS259 &amp;")","")</f>
        <v>Cl₂ (aq)</v>
      </c>
      <c r="AH259" t="s">
        <v>895</v>
      </c>
      <c r="AI259" t="s">
        <v>896</v>
      </c>
      <c r="AJ259" t="s">
        <v>896</v>
      </c>
      <c r="AL259" t="s">
        <v>898</v>
      </c>
      <c r="AS259" t="s">
        <v>48</v>
      </c>
      <c r="AX259" s="6">
        <v>70.91</v>
      </c>
      <c r="AY259" s="6" t="s">
        <v>899</v>
      </c>
      <c r="AZ259" s="6">
        <v>127.6</v>
      </c>
      <c r="BA259" s="6"/>
      <c r="BB259" s="6">
        <v>7.2</v>
      </c>
    </row>
    <row r="260" spans="32:55">
      <c r="AF260">
        <f t="shared" si="32"/>
        <v>0</v>
      </c>
      <c r="AG260" t="str">
        <f t="shared" si="33"/>
        <v>Cl⁻ (g)</v>
      </c>
      <c r="AH260" t="s">
        <v>900</v>
      </c>
      <c r="AI260" t="s">
        <v>901</v>
      </c>
      <c r="AJ260" t="s">
        <v>901</v>
      </c>
      <c r="AL260" t="s">
        <v>902</v>
      </c>
      <c r="AS260" t="s">
        <v>47</v>
      </c>
      <c r="AX260" s="6">
        <v>35.450000000000003</v>
      </c>
      <c r="AY260" s="6" t="s">
        <v>903</v>
      </c>
      <c r="AZ260" s="6">
        <v>153.36000000000001</v>
      </c>
      <c r="BA260" s="6"/>
      <c r="BB260" s="6">
        <v>-240.12</v>
      </c>
    </row>
    <row r="261" spans="32:55">
      <c r="AF261">
        <f t="shared" si="32"/>
        <v>0</v>
      </c>
      <c r="AG261" t="str">
        <f t="shared" si="33"/>
        <v>Cl⁻ (aq)</v>
      </c>
      <c r="AH261" t="s">
        <v>900</v>
      </c>
      <c r="AI261" t="s">
        <v>901</v>
      </c>
      <c r="AJ261" t="s">
        <v>901</v>
      </c>
      <c r="AL261" t="s">
        <v>902</v>
      </c>
      <c r="AS261" t="s">
        <v>48</v>
      </c>
      <c r="AX261" s="6">
        <v>35.450000000000003</v>
      </c>
      <c r="AY261" s="6" t="s">
        <v>904</v>
      </c>
      <c r="AZ261" s="6">
        <v>56.6</v>
      </c>
      <c r="BA261" s="6"/>
      <c r="BB261" s="6">
        <v>-131.19999999999999</v>
      </c>
    </row>
    <row r="262" spans="32:55">
      <c r="AF262">
        <f t="shared" si="32"/>
        <v>0</v>
      </c>
      <c r="AG262" t="str">
        <f t="shared" si="33"/>
        <v>ClO₂ (g)</v>
      </c>
      <c r="AH262" t="s">
        <v>905</v>
      </c>
      <c r="AI262" t="s">
        <v>906</v>
      </c>
      <c r="AJ262" t="s">
        <v>906</v>
      </c>
      <c r="AL262" t="s">
        <v>907</v>
      </c>
      <c r="AS262" t="s">
        <v>47</v>
      </c>
      <c r="AX262" s="6">
        <v>67.45</v>
      </c>
      <c r="AY262" s="6" t="s">
        <v>908</v>
      </c>
      <c r="AZ262" s="6">
        <v>256.8</v>
      </c>
      <c r="BA262" s="6"/>
      <c r="BB262" s="6">
        <v>120.5</v>
      </c>
    </row>
    <row r="263" spans="32:55">
      <c r="AF263">
        <f t="shared" si="32"/>
        <v>0</v>
      </c>
      <c r="AG263" t="str">
        <f t="shared" si="33"/>
        <v>Cl₂O (g)</v>
      </c>
      <c r="AH263" t="s">
        <v>909</v>
      </c>
      <c r="AI263" t="s">
        <v>910</v>
      </c>
      <c r="AJ263" t="s">
        <v>910</v>
      </c>
      <c r="AL263" t="s">
        <v>911</v>
      </c>
      <c r="AS263" t="s">
        <v>47</v>
      </c>
      <c r="AX263" s="6">
        <v>86.91</v>
      </c>
      <c r="AY263" s="6" t="s">
        <v>912</v>
      </c>
      <c r="AZ263" s="6">
        <v>266.2</v>
      </c>
      <c r="BA263" s="6"/>
      <c r="BB263" s="6">
        <v>97.9</v>
      </c>
    </row>
    <row r="264" spans="32:55">
      <c r="AF264">
        <f t="shared" si="32"/>
        <v>0</v>
      </c>
      <c r="AG264" t="str">
        <f t="shared" si="33"/>
        <v>HCl (g)</v>
      </c>
      <c r="AH264" t="s">
        <v>913</v>
      </c>
      <c r="AI264" t="s">
        <v>913</v>
      </c>
      <c r="AJ264" t="s">
        <v>913</v>
      </c>
      <c r="AL264" t="s">
        <v>914</v>
      </c>
      <c r="AS264" t="s">
        <v>47</v>
      </c>
      <c r="AX264" s="6">
        <v>36.46</v>
      </c>
      <c r="AY264" s="6" t="s">
        <v>915</v>
      </c>
      <c r="AZ264" s="6">
        <v>186.9</v>
      </c>
      <c r="BA264" s="6"/>
      <c r="BB264" s="6">
        <v>-95.3</v>
      </c>
    </row>
    <row r="265" spans="32:55">
      <c r="AF265">
        <f t="shared" si="32"/>
        <v>0</v>
      </c>
      <c r="AG265" t="str">
        <f t="shared" si="33"/>
        <v>HCl (aq)</v>
      </c>
      <c r="AH265" t="s">
        <v>913</v>
      </c>
      <c r="AI265" t="s">
        <v>913</v>
      </c>
      <c r="AJ265" t="s">
        <v>913</v>
      </c>
      <c r="AK265" t="s">
        <v>916</v>
      </c>
      <c r="AL265" t="s">
        <v>914</v>
      </c>
      <c r="AS265" t="s">
        <v>48</v>
      </c>
      <c r="AX265" s="6">
        <v>36.46</v>
      </c>
      <c r="AY265" s="6" t="s">
        <v>917</v>
      </c>
      <c r="AZ265" s="6" t="s">
        <v>168</v>
      </c>
      <c r="BA265" s="6"/>
      <c r="BB265" s="6">
        <v>-91.2</v>
      </c>
    </row>
    <row r="266" spans="32:55">
      <c r="AF266">
        <f t="shared" si="32"/>
        <v>0</v>
      </c>
      <c r="AG266" t="str">
        <f t="shared" si="33"/>
        <v>Cl₂O₇ (l)</v>
      </c>
      <c r="AH266" t="s">
        <v>918</v>
      </c>
      <c r="AI266" t="s">
        <v>919</v>
      </c>
      <c r="AJ266" t="s">
        <v>919</v>
      </c>
      <c r="AL266" t="s">
        <v>920</v>
      </c>
      <c r="AS266" t="s">
        <v>239</v>
      </c>
      <c r="AX266" s="6">
        <v>182.9</v>
      </c>
      <c r="AY266" s="6">
        <v>238.1</v>
      </c>
      <c r="AZ266" s="6">
        <v>-162.30000000000001</v>
      </c>
      <c r="BA266" s="6"/>
      <c r="BB266" s="6" t="s">
        <v>168</v>
      </c>
      <c r="BC266" s="6"/>
    </row>
    <row r="267" spans="32:55">
      <c r="AF267">
        <f t="shared" si="32"/>
        <v>0</v>
      </c>
      <c r="AG267" t="str">
        <f t="shared" si="33"/>
        <v>HClO₃ (aq)</v>
      </c>
      <c r="AH267" t="s">
        <v>921</v>
      </c>
      <c r="AI267" t="s">
        <v>922</v>
      </c>
      <c r="AJ267" t="s">
        <v>922</v>
      </c>
      <c r="AL267" t="s">
        <v>923</v>
      </c>
      <c r="AS267" t="s">
        <v>48</v>
      </c>
      <c r="AX267" s="6">
        <v>84.46</v>
      </c>
      <c r="AY267" s="6">
        <v>-99.2</v>
      </c>
      <c r="AZ267" s="6"/>
      <c r="BA267" s="6"/>
      <c r="BB267" s="6">
        <v>-3.3</v>
      </c>
    </row>
    <row r="268" spans="32:55">
      <c r="AF268">
        <f t="shared" si="32"/>
        <v>0</v>
      </c>
      <c r="AG268" t="str">
        <f t="shared" si="33"/>
        <v>ClO₃⁻ (aq)</v>
      </c>
      <c r="AH268" t="s">
        <v>924</v>
      </c>
      <c r="AI268" t="s">
        <v>925</v>
      </c>
      <c r="AJ268" t="s">
        <v>925</v>
      </c>
      <c r="AL268" t="s">
        <v>926</v>
      </c>
      <c r="AS268" t="s">
        <v>48</v>
      </c>
      <c r="AX268" s="6">
        <v>83.45</v>
      </c>
      <c r="AY268" s="6" t="s">
        <v>927</v>
      </c>
      <c r="AZ268" s="6">
        <v>162.30000000000001</v>
      </c>
      <c r="BA268" s="6"/>
      <c r="BB268" s="6">
        <v>-8</v>
      </c>
    </row>
    <row r="269" spans="32:55">
      <c r="AF269">
        <f t="shared" si="32"/>
        <v>0</v>
      </c>
      <c r="AG269" t="str">
        <f t="shared" si="33"/>
        <v>HClO₂ (aq)</v>
      </c>
      <c r="AH269" t="s">
        <v>928</v>
      </c>
      <c r="AI269" t="s">
        <v>929</v>
      </c>
      <c r="AJ269" t="s">
        <v>929</v>
      </c>
      <c r="AL269" t="s">
        <v>930</v>
      </c>
      <c r="AS269" t="s">
        <v>48</v>
      </c>
      <c r="AX269" s="6">
        <v>68.459999999999994</v>
      </c>
      <c r="AY269" s="6" t="s">
        <v>931</v>
      </c>
      <c r="AZ269" s="6">
        <v>188.3</v>
      </c>
      <c r="BA269" s="6"/>
      <c r="BB269" s="6">
        <v>5.9</v>
      </c>
    </row>
    <row r="270" spans="32:55">
      <c r="AF270">
        <f t="shared" si="32"/>
        <v>0</v>
      </c>
      <c r="AG270" t="str">
        <f t="shared" si="33"/>
        <v>ClO₂⁻ (aq)</v>
      </c>
      <c r="AH270" t="s">
        <v>932</v>
      </c>
      <c r="AI270" t="s">
        <v>933</v>
      </c>
      <c r="AJ270" t="s">
        <v>933</v>
      </c>
      <c r="AL270" t="s">
        <v>934</v>
      </c>
      <c r="AS270" t="s">
        <v>48</v>
      </c>
      <c r="AX270" s="6">
        <v>67.45</v>
      </c>
      <c r="AY270" s="6" t="s">
        <v>935</v>
      </c>
      <c r="AZ270" s="6">
        <v>101.3</v>
      </c>
      <c r="BA270" s="6"/>
      <c r="BB270" s="6">
        <v>17.2</v>
      </c>
    </row>
    <row r="271" spans="32:55">
      <c r="AF271">
        <f t="shared" si="32"/>
        <v>0</v>
      </c>
      <c r="AG271" t="str">
        <f t="shared" si="33"/>
        <v>HClO (aq)</v>
      </c>
      <c r="AH271" t="s">
        <v>936</v>
      </c>
      <c r="AI271" t="s">
        <v>936</v>
      </c>
      <c r="AJ271" t="s">
        <v>936</v>
      </c>
      <c r="AL271" t="s">
        <v>937</v>
      </c>
      <c r="AS271" t="s">
        <v>48</v>
      </c>
      <c r="AX271" s="6">
        <v>52.46</v>
      </c>
      <c r="AY271" s="6">
        <v>-120.9</v>
      </c>
      <c r="AZ271" s="6">
        <v>142</v>
      </c>
      <c r="BA271" s="6"/>
      <c r="BB271" s="6">
        <v>-79.900000000000006</v>
      </c>
      <c r="BC271" s="6"/>
    </row>
    <row r="272" spans="32:55">
      <c r="AF272">
        <f t="shared" si="32"/>
        <v>0</v>
      </c>
      <c r="AG272" t="str">
        <f t="shared" si="33"/>
        <v>ClO⁻ (aq)</v>
      </c>
      <c r="AH272" t="s">
        <v>938</v>
      </c>
      <c r="AI272" t="s">
        <v>939</v>
      </c>
      <c r="AJ272" t="s">
        <v>939</v>
      </c>
      <c r="AL272" t="s">
        <v>940</v>
      </c>
      <c r="AS272" t="s">
        <v>48</v>
      </c>
      <c r="AX272" s="6">
        <v>51.45</v>
      </c>
      <c r="AY272" s="6" t="s">
        <v>941</v>
      </c>
      <c r="AZ272" s="6">
        <v>42</v>
      </c>
      <c r="BA272" s="6"/>
      <c r="BB272" s="6">
        <v>-36.799999999999997</v>
      </c>
    </row>
    <row r="273" spans="32:55">
      <c r="AF273">
        <f t="shared" si="32"/>
        <v>0</v>
      </c>
      <c r="AG273" t="str">
        <f t="shared" si="33"/>
        <v>HClO₄ (l)</v>
      </c>
      <c r="AH273" t="s">
        <v>942</v>
      </c>
      <c r="AI273" t="s">
        <v>943</v>
      </c>
      <c r="AJ273" t="s">
        <v>943</v>
      </c>
      <c r="AL273" t="s">
        <v>944</v>
      </c>
      <c r="AS273" t="s">
        <v>239</v>
      </c>
      <c r="AX273" s="6">
        <v>100.46</v>
      </c>
      <c r="AY273" s="6" t="s">
        <v>945</v>
      </c>
      <c r="AZ273" s="6" t="s">
        <v>168</v>
      </c>
      <c r="BA273" s="6"/>
      <c r="BB273" s="6" t="s">
        <v>168</v>
      </c>
      <c r="BC273" s="6"/>
    </row>
    <row r="274" spans="32:55">
      <c r="AF274">
        <f t="shared" si="32"/>
        <v>0</v>
      </c>
      <c r="AG274" t="str">
        <f t="shared" si="33"/>
        <v>ClO₄⁻ (aq)</v>
      </c>
      <c r="AH274" t="s">
        <v>946</v>
      </c>
      <c r="AI274" t="s">
        <v>947</v>
      </c>
      <c r="AJ274" t="s">
        <v>947</v>
      </c>
      <c r="AL274" t="s">
        <v>948</v>
      </c>
      <c r="AS274" t="s">
        <v>48</v>
      </c>
      <c r="AX274" s="6">
        <v>99.45</v>
      </c>
      <c r="AY274" s="6" t="s">
        <v>949</v>
      </c>
      <c r="AZ274" s="6">
        <v>184</v>
      </c>
      <c r="BA274" s="6"/>
      <c r="BB274" s="6">
        <v>-8.5</v>
      </c>
    </row>
    <row r="275" spans="32:55">
      <c r="AF275">
        <f t="shared" si="32"/>
        <v>0</v>
      </c>
      <c r="AG275" t="str">
        <f t="shared" si="33"/>
        <v>Cr (s)</v>
      </c>
      <c r="AH275" t="s">
        <v>950</v>
      </c>
      <c r="AI275" t="s">
        <v>950</v>
      </c>
      <c r="AJ275" t="s">
        <v>950</v>
      </c>
      <c r="AL275" t="s">
        <v>951</v>
      </c>
      <c r="AS275" t="s">
        <v>160</v>
      </c>
      <c r="AX275" s="6">
        <v>52</v>
      </c>
      <c r="AY275" s="6" t="s">
        <v>161</v>
      </c>
      <c r="AZ275" s="6">
        <v>23.8</v>
      </c>
      <c r="BA275" s="6"/>
      <c r="BB275" s="6">
        <v>0</v>
      </c>
    </row>
    <row r="276" spans="32:55">
      <c r="AF276">
        <f t="shared" si="32"/>
        <v>0</v>
      </c>
      <c r="AG276" t="str">
        <f t="shared" si="33"/>
        <v>Cr²⁺ (aq)</v>
      </c>
      <c r="AH276" t="s">
        <v>952</v>
      </c>
      <c r="AI276" t="s">
        <v>953</v>
      </c>
      <c r="AJ276" t="s">
        <v>953</v>
      </c>
      <c r="AL276" t="s">
        <v>954</v>
      </c>
      <c r="AS276" t="s">
        <v>48</v>
      </c>
      <c r="AX276" s="6">
        <v>52</v>
      </c>
      <c r="AY276" s="6" t="s">
        <v>955</v>
      </c>
      <c r="AZ276" s="6">
        <v>-100</v>
      </c>
      <c r="BA276" s="6"/>
      <c r="BB276" s="6">
        <v>-174</v>
      </c>
    </row>
    <row r="277" spans="32:55">
      <c r="AF277">
        <f t="shared" si="32"/>
        <v>0</v>
      </c>
      <c r="AG277" t="str">
        <f t="shared" si="33"/>
        <v>Cr³⁺ (aq)</v>
      </c>
      <c r="AH277" t="s">
        <v>956</v>
      </c>
      <c r="AI277" t="s">
        <v>957</v>
      </c>
      <c r="AJ277" t="s">
        <v>957</v>
      </c>
      <c r="AL277" t="s">
        <v>958</v>
      </c>
      <c r="AS277" t="s">
        <v>48</v>
      </c>
      <c r="AX277" s="6">
        <v>52</v>
      </c>
      <c r="AY277" s="6" t="s">
        <v>959</v>
      </c>
      <c r="AZ277" s="6">
        <v>-293</v>
      </c>
      <c r="BA277" s="6"/>
      <c r="BB277" s="6">
        <v>-215</v>
      </c>
    </row>
    <row r="278" spans="32:55">
      <c r="AF278">
        <f t="shared" si="32"/>
        <v>0</v>
      </c>
      <c r="AG278" t="str">
        <f t="shared" si="33"/>
        <v>CrO₄²⁻ (aq)</v>
      </c>
      <c r="AH278" t="s">
        <v>960</v>
      </c>
      <c r="AI278" t="s">
        <v>961</v>
      </c>
      <c r="AJ278" t="s">
        <v>961</v>
      </c>
      <c r="AL278" t="s">
        <v>962</v>
      </c>
      <c r="AS278" t="s">
        <v>48</v>
      </c>
      <c r="AX278" s="6">
        <v>115.99</v>
      </c>
      <c r="AY278" s="6" t="s">
        <v>963</v>
      </c>
      <c r="AZ278" s="6">
        <v>50.2</v>
      </c>
      <c r="BA278" s="6"/>
      <c r="BB278" s="6">
        <v>-727.8</v>
      </c>
    </row>
    <row r="279" spans="32:55">
      <c r="AF279">
        <f t="shared" si="32"/>
        <v>0</v>
      </c>
      <c r="AG279" t="str">
        <f t="shared" si="33"/>
        <v>HCrO₄⁻ (aq)</v>
      </c>
      <c r="AH279" t="s">
        <v>964</v>
      </c>
      <c r="AI279" t="s">
        <v>965</v>
      </c>
      <c r="AJ279" t="s">
        <v>965</v>
      </c>
      <c r="AL279" t="s">
        <v>966</v>
      </c>
      <c r="AS279" t="s">
        <v>48</v>
      </c>
      <c r="AX279" s="6">
        <v>117</v>
      </c>
      <c r="AY279" s="6" t="s">
        <v>967</v>
      </c>
      <c r="AZ279" s="6">
        <v>184.1</v>
      </c>
      <c r="BA279" s="6"/>
      <c r="BB279" s="6">
        <v>-764.8</v>
      </c>
    </row>
    <row r="280" spans="32:55">
      <c r="AF280">
        <f t="shared" si="32"/>
        <v>0</v>
      </c>
      <c r="AG280" t="str">
        <f t="shared" si="33"/>
        <v>H₂CrO₄ (aq)</v>
      </c>
      <c r="AH280" t="s">
        <v>968</v>
      </c>
      <c r="AI280" t="s">
        <v>969</v>
      </c>
      <c r="AJ280" t="s">
        <v>969</v>
      </c>
      <c r="AL280" t="s">
        <v>970</v>
      </c>
      <c r="AS280" t="s">
        <v>48</v>
      </c>
      <c r="AX280" s="6">
        <v>118.01</v>
      </c>
      <c r="AY280" s="6" t="s">
        <v>971</v>
      </c>
      <c r="AZ280" s="6">
        <v>293</v>
      </c>
      <c r="BA280" s="6"/>
      <c r="BB280" s="6">
        <v>-760.7</v>
      </c>
    </row>
    <row r="281" spans="32:55">
      <c r="AF281">
        <f t="shared" si="32"/>
        <v>0</v>
      </c>
      <c r="AG281" t="str">
        <f t="shared" si="33"/>
        <v>Cr₂O₇²⁻ (aq)</v>
      </c>
      <c r="AH281" t="s">
        <v>972</v>
      </c>
      <c r="AI281" t="s">
        <v>973</v>
      </c>
      <c r="AJ281" t="s">
        <v>973</v>
      </c>
      <c r="AL281" t="s">
        <v>974</v>
      </c>
      <c r="AS281" t="s">
        <v>48</v>
      </c>
      <c r="AX281" s="6">
        <v>215.99</v>
      </c>
      <c r="AY281" s="6" t="s">
        <v>975</v>
      </c>
      <c r="AZ281" s="6">
        <v>261.89999999999998</v>
      </c>
      <c r="BA281" s="6"/>
      <c r="BB281" s="6">
        <v>-1301.2</v>
      </c>
    </row>
    <row r="282" spans="32:55">
      <c r="AF282">
        <f t="shared" si="32"/>
        <v>0</v>
      </c>
      <c r="AG282" t="str">
        <f t="shared" si="33"/>
        <v>CrCl₂ (s)</v>
      </c>
      <c r="AH282" t="s">
        <v>976</v>
      </c>
      <c r="AI282" t="s">
        <v>977</v>
      </c>
      <c r="AJ282" t="s">
        <v>977</v>
      </c>
      <c r="AL282" t="s">
        <v>978</v>
      </c>
      <c r="AS282" t="s">
        <v>160</v>
      </c>
      <c r="AX282" s="6">
        <v>122.9</v>
      </c>
      <c r="AY282" s="6" t="s">
        <v>979</v>
      </c>
      <c r="AZ282" s="6">
        <v>115.3</v>
      </c>
      <c r="BA282" s="6"/>
      <c r="BB282" s="6">
        <v>-356</v>
      </c>
    </row>
    <row r="283" spans="32:55">
      <c r="AF283">
        <f t="shared" si="32"/>
        <v>0</v>
      </c>
      <c r="AG283" t="str">
        <f t="shared" si="33"/>
        <v>CrCl₃ (s)</v>
      </c>
      <c r="AH283" t="s">
        <v>980</v>
      </c>
      <c r="AI283" t="s">
        <v>981</v>
      </c>
      <c r="AJ283" t="s">
        <v>981</v>
      </c>
      <c r="AL283" t="s">
        <v>982</v>
      </c>
      <c r="AS283" t="s">
        <v>160</v>
      </c>
      <c r="AX283" s="6">
        <v>158.35</v>
      </c>
      <c r="AY283" s="6" t="s">
        <v>983</v>
      </c>
      <c r="AZ283" s="6">
        <v>123</v>
      </c>
      <c r="BA283" s="6"/>
      <c r="BB283" s="6">
        <v>-486.1</v>
      </c>
    </row>
    <row r="284" spans="32:55">
      <c r="AF284">
        <f t="shared" si="32"/>
        <v>0</v>
      </c>
      <c r="AG284" t="str">
        <f t="shared" si="33"/>
        <v/>
      </c>
      <c r="AH284" t="s">
        <v>984</v>
      </c>
      <c r="AI284" t="s">
        <v>985</v>
      </c>
      <c r="AJ284" t="s">
        <v>986</v>
      </c>
      <c r="AL284" t="s">
        <v>987</v>
      </c>
      <c r="AS284" t="s">
        <v>220</v>
      </c>
      <c r="AX284" s="6">
        <v>266.45</v>
      </c>
      <c r="AY284" s="6" t="s">
        <v>168</v>
      </c>
      <c r="AZ284" s="6" t="s">
        <v>168</v>
      </c>
      <c r="BA284" s="6"/>
      <c r="BB284" s="6" t="s">
        <v>168</v>
      </c>
      <c r="BC284" s="6"/>
    </row>
    <row r="285" spans="32:55">
      <c r="AF285">
        <f t="shared" si="32"/>
        <v>0</v>
      </c>
      <c r="AG285" t="str">
        <f t="shared" si="33"/>
        <v>Cr(OH)₂ (s)</v>
      </c>
      <c r="AH285" t="s">
        <v>988</v>
      </c>
      <c r="AI285" t="s">
        <v>989</v>
      </c>
      <c r="AJ285" t="s">
        <v>990</v>
      </c>
      <c r="AL285" t="s">
        <v>991</v>
      </c>
      <c r="AS285" t="s">
        <v>160</v>
      </c>
      <c r="AX285" s="6">
        <v>86.01</v>
      </c>
      <c r="AY285" s="6" t="s">
        <v>992</v>
      </c>
      <c r="AZ285" s="6">
        <v>105</v>
      </c>
      <c r="BA285" s="6"/>
      <c r="BB285" s="6">
        <v>-858</v>
      </c>
    </row>
    <row r="286" spans="32:55">
      <c r="AF286">
        <f t="shared" si="32"/>
        <v>0</v>
      </c>
      <c r="AG286" t="str">
        <f t="shared" si="33"/>
        <v>CrO (s)</v>
      </c>
      <c r="AH286" t="s">
        <v>993</v>
      </c>
      <c r="AI286" t="s">
        <v>993</v>
      </c>
      <c r="AJ286" t="s">
        <v>993</v>
      </c>
      <c r="AL286" t="s">
        <v>994</v>
      </c>
      <c r="AS286" t="s">
        <v>160</v>
      </c>
      <c r="AX286" s="6">
        <v>68</v>
      </c>
      <c r="AY286" s="6" t="s">
        <v>995</v>
      </c>
      <c r="AZ286" s="6">
        <v>222</v>
      </c>
      <c r="BA286" s="6"/>
      <c r="BB286" s="6">
        <v>192</v>
      </c>
    </row>
    <row r="287" spans="32:55">
      <c r="AF287">
        <f t="shared" si="32"/>
        <v>0</v>
      </c>
      <c r="AG287" t="str">
        <f t="shared" si="33"/>
        <v>Cr₂O₃ (s)</v>
      </c>
      <c r="AH287" t="s">
        <v>996</v>
      </c>
      <c r="AI287" t="s">
        <v>997</v>
      </c>
      <c r="AJ287" t="s">
        <v>997</v>
      </c>
      <c r="AL287" t="s">
        <v>998</v>
      </c>
      <c r="AS287" t="s">
        <v>160</v>
      </c>
      <c r="AX287" s="6">
        <v>151.99</v>
      </c>
      <c r="AY287" s="6" t="s">
        <v>999</v>
      </c>
      <c r="AZ287" s="6">
        <v>81.7</v>
      </c>
      <c r="BA287" s="6"/>
      <c r="BB287" s="6">
        <v>-1058.0999999999999</v>
      </c>
    </row>
    <row r="288" spans="32:55">
      <c r="AF288">
        <f t="shared" si="32"/>
        <v>0</v>
      </c>
      <c r="AG288" t="str">
        <f t="shared" si="33"/>
        <v>CrO₂ (s)</v>
      </c>
      <c r="AH288" t="s">
        <v>1000</v>
      </c>
      <c r="AI288" t="s">
        <v>1001</v>
      </c>
      <c r="AJ288" t="s">
        <v>1001</v>
      </c>
      <c r="AL288" t="s">
        <v>1002</v>
      </c>
      <c r="AS288" t="s">
        <v>160</v>
      </c>
      <c r="AX288" s="6">
        <v>84</v>
      </c>
      <c r="AY288" s="6" t="s">
        <v>1003</v>
      </c>
      <c r="AZ288" s="6">
        <v>54</v>
      </c>
      <c r="BA288" s="6"/>
      <c r="BB288" s="6">
        <v>-548</v>
      </c>
    </row>
    <row r="289" spans="32:55">
      <c r="AF289">
        <f t="shared" si="32"/>
        <v>0</v>
      </c>
      <c r="AG289" t="str">
        <f t="shared" si="33"/>
        <v>CrO₃ (s)</v>
      </c>
      <c r="AH289" t="s">
        <v>1004</v>
      </c>
      <c r="AI289" t="s">
        <v>1005</v>
      </c>
      <c r="AJ289" t="s">
        <v>1005</v>
      </c>
      <c r="AL289" t="s">
        <v>1006</v>
      </c>
      <c r="AS289" t="s">
        <v>160</v>
      </c>
      <c r="AX289" s="6">
        <v>99.99</v>
      </c>
      <c r="AY289" s="6" t="s">
        <v>1007</v>
      </c>
      <c r="AZ289" s="6">
        <v>67</v>
      </c>
      <c r="BA289" s="6"/>
      <c r="BB289" s="6">
        <v>-510</v>
      </c>
    </row>
    <row r="290" spans="32:55">
      <c r="AF290">
        <f t="shared" si="32"/>
        <v>0</v>
      </c>
      <c r="AG290" t="str">
        <f t="shared" si="33"/>
        <v>CrO₂Cl₂ (l)</v>
      </c>
      <c r="AH290" t="s">
        <v>1008</v>
      </c>
      <c r="AI290" t="s">
        <v>1009</v>
      </c>
      <c r="AJ290" t="s">
        <v>1009</v>
      </c>
      <c r="AL290" t="s">
        <v>1010</v>
      </c>
      <c r="AS290" t="s">
        <v>239</v>
      </c>
      <c r="AX290" s="6">
        <v>154.9</v>
      </c>
      <c r="AY290" s="6" t="s">
        <v>1011</v>
      </c>
      <c r="AZ290" s="6">
        <v>221.8</v>
      </c>
      <c r="BA290" s="6"/>
      <c r="BB290" s="6">
        <v>-510.8</v>
      </c>
    </row>
    <row r="291" spans="32:55">
      <c r="AF291">
        <f t="shared" si="32"/>
        <v>0</v>
      </c>
      <c r="AG291" t="str">
        <f t="shared" si="33"/>
        <v>CrSO₄∙7H₂O (s)</v>
      </c>
      <c r="AH291" t="s">
        <v>1012</v>
      </c>
      <c r="AI291" t="s">
        <v>1013</v>
      </c>
      <c r="AJ291" t="s">
        <v>1014</v>
      </c>
      <c r="AL291" t="s">
        <v>1015</v>
      </c>
      <c r="AS291" t="s">
        <v>160</v>
      </c>
      <c r="AX291" s="6">
        <v>274.17</v>
      </c>
      <c r="AY291" s="6" t="s">
        <v>168</v>
      </c>
      <c r="AZ291" s="6" t="s">
        <v>168</v>
      </c>
      <c r="BA291" s="6"/>
      <c r="BB291" s="6" t="s">
        <v>168</v>
      </c>
      <c r="BC291" s="6"/>
    </row>
    <row r="292" spans="32:55">
      <c r="AF292">
        <f t="shared" si="32"/>
        <v>0</v>
      </c>
      <c r="AG292" t="str">
        <f t="shared" si="33"/>
        <v>Cr₂(SO₄)₃ (s)</v>
      </c>
      <c r="AH292" t="s">
        <v>1016</v>
      </c>
      <c r="AI292" t="s">
        <v>1017</v>
      </c>
      <c r="AJ292" t="s">
        <v>1018</v>
      </c>
      <c r="AL292" t="s">
        <v>1019</v>
      </c>
      <c r="AS292" t="s">
        <v>160</v>
      </c>
      <c r="AX292" s="6">
        <v>392.18</v>
      </c>
      <c r="AY292" s="6" t="s">
        <v>1020</v>
      </c>
      <c r="AZ292" s="6" t="s">
        <v>168</v>
      </c>
      <c r="BA292" s="6"/>
      <c r="BB292" s="6" t="s">
        <v>168</v>
      </c>
      <c r="BC292" s="6"/>
    </row>
    <row r="293" spans="32:55">
      <c r="AF293">
        <f t="shared" si="32"/>
        <v>0</v>
      </c>
      <c r="AG293" t="str">
        <f t="shared" si="33"/>
        <v>Cr₂(SO₄)₃∙18H₂O (s)</v>
      </c>
      <c r="AH293" t="s">
        <v>1021</v>
      </c>
      <c r="AI293" t="s">
        <v>1022</v>
      </c>
      <c r="AJ293" t="s">
        <v>1023</v>
      </c>
      <c r="AL293" t="s">
        <v>1024</v>
      </c>
      <c r="AS293" t="s">
        <v>160</v>
      </c>
      <c r="AX293" s="6">
        <v>716.45</v>
      </c>
      <c r="AY293" s="6" t="s">
        <v>1025</v>
      </c>
      <c r="AZ293" s="6" t="s">
        <v>168</v>
      </c>
      <c r="BA293" s="6"/>
      <c r="BB293" s="6" t="s">
        <v>168</v>
      </c>
      <c r="BC293" s="6"/>
    </row>
    <row r="294" spans="32:55">
      <c r="AF294">
        <f t="shared" si="32"/>
        <v>0</v>
      </c>
      <c r="AG294" t="str">
        <f t="shared" si="33"/>
        <v>Cr(CO)₆ (s)</v>
      </c>
      <c r="AH294" t="s">
        <v>1026</v>
      </c>
      <c r="AI294" t="s">
        <v>1027</v>
      </c>
      <c r="AJ294" t="s">
        <v>1028</v>
      </c>
      <c r="AL294" t="s">
        <v>1029</v>
      </c>
      <c r="AS294" t="s">
        <v>160</v>
      </c>
      <c r="AX294" s="6">
        <v>220.07</v>
      </c>
      <c r="AY294" s="6" t="s">
        <v>1030</v>
      </c>
      <c r="AZ294" s="6">
        <v>169.6</v>
      </c>
      <c r="BA294" s="6"/>
      <c r="BB294" s="6" t="s">
        <v>168</v>
      </c>
      <c r="BC294" s="6"/>
    </row>
    <row r="295" spans="32:55">
      <c r="AF295">
        <f t="shared" si="32"/>
        <v>0</v>
      </c>
      <c r="AG295" t="str">
        <f t="shared" si="33"/>
        <v>Co (s)</v>
      </c>
      <c r="AH295" t="s">
        <v>1031</v>
      </c>
      <c r="AI295" t="s">
        <v>1031</v>
      </c>
      <c r="AJ295" t="s">
        <v>1031</v>
      </c>
      <c r="AL295" t="s">
        <v>1032</v>
      </c>
      <c r="AS295" t="s">
        <v>160</v>
      </c>
      <c r="AX295" s="6">
        <v>58.93</v>
      </c>
      <c r="AY295" s="6" t="s">
        <v>161</v>
      </c>
      <c r="AZ295" s="6">
        <v>30</v>
      </c>
      <c r="BA295" s="6"/>
      <c r="BB295" s="6">
        <v>0</v>
      </c>
    </row>
    <row r="296" spans="32:55">
      <c r="AF296">
        <f t="shared" si="32"/>
        <v>0</v>
      </c>
      <c r="AG296" t="str">
        <f t="shared" si="33"/>
        <v>Co²⁺ (aq)</v>
      </c>
      <c r="AH296" t="s">
        <v>1033</v>
      </c>
      <c r="AI296" t="s">
        <v>1034</v>
      </c>
      <c r="AJ296" t="s">
        <v>1034</v>
      </c>
      <c r="AL296" t="s">
        <v>1035</v>
      </c>
      <c r="AS296" t="s">
        <v>48</v>
      </c>
      <c r="AX296" s="6">
        <v>58.93</v>
      </c>
      <c r="AY296" s="6" t="s">
        <v>1036</v>
      </c>
      <c r="AZ296" s="6">
        <v>-113</v>
      </c>
      <c r="BA296" s="6"/>
      <c r="BB296" s="6">
        <v>-54.4</v>
      </c>
    </row>
    <row r="297" spans="32:55">
      <c r="AF297">
        <f t="shared" si="32"/>
        <v>0</v>
      </c>
      <c r="AG297" t="str">
        <f t="shared" si="33"/>
        <v>Co³⁺ (aq)</v>
      </c>
      <c r="AH297" t="s">
        <v>1037</v>
      </c>
      <c r="AI297" t="s">
        <v>1038</v>
      </c>
      <c r="AJ297" t="s">
        <v>1038</v>
      </c>
      <c r="AL297" t="s">
        <v>1039</v>
      </c>
      <c r="AS297" t="s">
        <v>48</v>
      </c>
      <c r="AX297" s="6">
        <v>58.93</v>
      </c>
      <c r="AY297" s="6" t="s">
        <v>1040</v>
      </c>
      <c r="AZ297" s="6">
        <v>-305</v>
      </c>
      <c r="BA297" s="6"/>
      <c r="BB297" s="6">
        <v>134</v>
      </c>
    </row>
    <row r="298" spans="32:55">
      <c r="AF298">
        <f t="shared" si="32"/>
        <v>0</v>
      </c>
      <c r="AG298" t="str">
        <f t="shared" si="33"/>
        <v>CoCO₃ (s)</v>
      </c>
      <c r="AH298" t="s">
        <v>1041</v>
      </c>
      <c r="AI298" t="s">
        <v>1042</v>
      </c>
      <c r="AJ298" t="s">
        <v>1042</v>
      </c>
      <c r="AL298" t="s">
        <v>1043</v>
      </c>
      <c r="AS298" t="s">
        <v>160</v>
      </c>
      <c r="AX298" s="6">
        <v>118.94</v>
      </c>
      <c r="AY298" s="6" t="s">
        <v>1044</v>
      </c>
      <c r="AZ298" s="6" t="s">
        <v>168</v>
      </c>
      <c r="BA298" s="6"/>
      <c r="BB298" s="6" t="s">
        <v>168</v>
      </c>
      <c r="BC298" s="6"/>
    </row>
    <row r="299" spans="32:55">
      <c r="AF299">
        <f t="shared" si="32"/>
        <v>0</v>
      </c>
      <c r="AG299" t="str">
        <f t="shared" si="33"/>
        <v>CoCl₂ (s)</v>
      </c>
      <c r="AH299" t="s">
        <v>1045</v>
      </c>
      <c r="AI299" t="s">
        <v>1046</v>
      </c>
      <c r="AJ299" t="s">
        <v>1046</v>
      </c>
      <c r="AL299" t="s">
        <v>1047</v>
      </c>
      <c r="AS299" t="s">
        <v>160</v>
      </c>
      <c r="AX299" s="6">
        <v>129.84</v>
      </c>
      <c r="AY299" s="6" t="s">
        <v>1048</v>
      </c>
      <c r="AZ299" s="6">
        <v>109.2</v>
      </c>
      <c r="BA299" s="6"/>
      <c r="BB299" s="6">
        <v>-269.89999999999998</v>
      </c>
    </row>
    <row r="300" spans="32:55">
      <c r="AF300">
        <f t="shared" si="32"/>
        <v>0</v>
      </c>
      <c r="AG300" t="str">
        <f t="shared" si="33"/>
        <v>CoCl₂∙2H₂O (s)</v>
      </c>
      <c r="AH300" t="s">
        <v>1049</v>
      </c>
      <c r="AI300" t="s">
        <v>1050</v>
      </c>
      <c r="AJ300" t="s">
        <v>1051</v>
      </c>
      <c r="AL300" t="s">
        <v>1052</v>
      </c>
      <c r="AS300" t="s">
        <v>160</v>
      </c>
      <c r="AX300" s="6">
        <v>165.87</v>
      </c>
      <c r="AY300" s="6" t="s">
        <v>1053</v>
      </c>
      <c r="AZ300" s="6">
        <v>188</v>
      </c>
      <c r="BA300" s="6"/>
      <c r="BB300" s="6">
        <v>-764.7</v>
      </c>
    </row>
    <row r="301" spans="32:55">
      <c r="AF301">
        <f t="shared" si="32"/>
        <v>0</v>
      </c>
      <c r="AG301" t="str">
        <f t="shared" si="33"/>
        <v>CoCl₂∙6H₂O (s)</v>
      </c>
      <c r="AH301" t="s">
        <v>1054</v>
      </c>
      <c r="AI301" t="s">
        <v>1055</v>
      </c>
      <c r="AJ301" t="s">
        <v>1056</v>
      </c>
      <c r="AL301" t="s">
        <v>1057</v>
      </c>
      <c r="AS301" t="s">
        <v>160</v>
      </c>
      <c r="AX301" s="6">
        <v>237.93</v>
      </c>
      <c r="AY301" s="6" t="s">
        <v>1058</v>
      </c>
      <c r="AZ301" s="6">
        <v>343.1</v>
      </c>
      <c r="BA301" s="6"/>
      <c r="BB301" s="6">
        <v>-1725.3</v>
      </c>
    </row>
    <row r="302" spans="32:55">
      <c r="AF302">
        <f t="shared" si="32"/>
        <v>0</v>
      </c>
      <c r="AG302" t="str">
        <f t="shared" si="33"/>
        <v>CoCl₃ (s)</v>
      </c>
      <c r="AH302" t="s">
        <v>1059</v>
      </c>
      <c r="AI302" t="s">
        <v>1060</v>
      </c>
      <c r="AJ302" t="s">
        <v>1060</v>
      </c>
      <c r="AL302" t="s">
        <v>1061</v>
      </c>
      <c r="AS302" t="s">
        <v>160</v>
      </c>
      <c r="AX302" s="6">
        <v>165.29</v>
      </c>
      <c r="AY302" s="6" t="s">
        <v>168</v>
      </c>
      <c r="AZ302" s="6" t="s">
        <v>168</v>
      </c>
      <c r="BA302" s="6"/>
      <c r="BB302" s="6" t="s">
        <v>168</v>
      </c>
      <c r="BC302" s="6"/>
    </row>
    <row r="303" spans="32:55">
      <c r="AF303">
        <f t="shared" si="32"/>
        <v>0</v>
      </c>
      <c r="AG303" t="str">
        <f t="shared" si="33"/>
        <v>Co(OH)₂ (s)</v>
      </c>
      <c r="AH303" t="s">
        <v>1062</v>
      </c>
      <c r="AI303" t="s">
        <v>1063</v>
      </c>
      <c r="AJ303" t="s">
        <v>1064</v>
      </c>
      <c r="AL303" t="s">
        <v>1065</v>
      </c>
      <c r="AS303" t="s">
        <v>160</v>
      </c>
      <c r="AX303" s="6">
        <v>92.95</v>
      </c>
      <c r="AY303" s="6" t="s">
        <v>1066</v>
      </c>
      <c r="AZ303" s="6">
        <v>79</v>
      </c>
      <c r="BA303" s="6"/>
      <c r="BB303" s="6">
        <v>-454.3</v>
      </c>
    </row>
    <row r="304" spans="32:55">
      <c r="AF304">
        <f t="shared" si="32"/>
        <v>0</v>
      </c>
      <c r="AG304" t="str">
        <f t="shared" si="33"/>
        <v>Co(NO₃)₂∙6H₂O (s)</v>
      </c>
      <c r="AH304" t="s">
        <v>1067</v>
      </c>
      <c r="AI304" t="s">
        <v>1068</v>
      </c>
      <c r="AJ304" t="s">
        <v>1069</v>
      </c>
      <c r="AL304" t="s">
        <v>1070</v>
      </c>
      <c r="AS304" t="s">
        <v>160</v>
      </c>
      <c r="AX304" s="6">
        <v>291.04000000000002</v>
      </c>
      <c r="AY304" s="6" t="s">
        <v>1071</v>
      </c>
      <c r="AZ304" s="6" t="s">
        <v>168</v>
      </c>
      <c r="BA304" s="6"/>
      <c r="BB304" s="6">
        <v>-1655.2</v>
      </c>
    </row>
    <row r="305" spans="32:55">
      <c r="AF305">
        <f t="shared" si="32"/>
        <v>0</v>
      </c>
      <c r="AG305" t="str">
        <f t="shared" si="33"/>
        <v>CoO (s)</v>
      </c>
      <c r="AH305" t="s">
        <v>1072</v>
      </c>
      <c r="AI305" t="s">
        <v>1072</v>
      </c>
      <c r="AJ305" t="s">
        <v>1072</v>
      </c>
      <c r="AL305" t="s">
        <v>1073</v>
      </c>
      <c r="AS305" t="s">
        <v>160</v>
      </c>
      <c r="AX305" s="6">
        <v>74.930000000000007</v>
      </c>
      <c r="AY305" s="6" t="s">
        <v>1074</v>
      </c>
      <c r="AZ305" s="6">
        <v>53</v>
      </c>
      <c r="BA305" s="6"/>
      <c r="BB305" s="6">
        <v>-214.2</v>
      </c>
    </row>
    <row r="306" spans="32:55">
      <c r="AF306">
        <f t="shared" si="32"/>
        <v>0</v>
      </c>
      <c r="AG306" t="str">
        <f t="shared" si="33"/>
        <v>Co₂O₃ (s)</v>
      </c>
      <c r="AH306" t="s">
        <v>1075</v>
      </c>
      <c r="AI306" t="s">
        <v>1076</v>
      </c>
      <c r="AJ306" t="s">
        <v>1076</v>
      </c>
      <c r="AL306" t="s">
        <v>1077</v>
      </c>
      <c r="AS306" t="s">
        <v>160</v>
      </c>
      <c r="AX306" s="6">
        <v>165.86</v>
      </c>
      <c r="AY306" s="6" t="s">
        <v>168</v>
      </c>
      <c r="AZ306" s="6" t="s">
        <v>168</v>
      </c>
      <c r="BA306" s="6"/>
      <c r="BB306" s="6" t="s">
        <v>168</v>
      </c>
      <c r="BC306" s="6"/>
    </row>
    <row r="307" spans="32:55">
      <c r="AF307">
        <f t="shared" si="32"/>
        <v>0</v>
      </c>
      <c r="AG307" t="str">
        <f t="shared" si="33"/>
        <v>Co₃O₄ (s)</v>
      </c>
      <c r="AH307" t="s">
        <v>1078</v>
      </c>
      <c r="AI307" t="s">
        <v>1079</v>
      </c>
      <c r="AJ307" t="s">
        <v>1079</v>
      </c>
      <c r="AL307" t="s">
        <v>1080</v>
      </c>
      <c r="AS307" t="s">
        <v>160</v>
      </c>
      <c r="AX307" s="6">
        <v>240.8</v>
      </c>
      <c r="AY307" s="6" t="s">
        <v>1081</v>
      </c>
      <c r="AZ307" s="6">
        <v>102.5</v>
      </c>
      <c r="BA307" s="6"/>
      <c r="BB307" s="6">
        <v>-774</v>
      </c>
    </row>
    <row r="308" spans="32:55">
      <c r="AF308">
        <f t="shared" si="32"/>
        <v>0</v>
      </c>
      <c r="AG308" t="str">
        <f t="shared" si="33"/>
        <v>CoSO₄ (s)</v>
      </c>
      <c r="AH308" t="s">
        <v>1082</v>
      </c>
      <c r="AI308" t="s">
        <v>1083</v>
      </c>
      <c r="AJ308" t="s">
        <v>1083</v>
      </c>
      <c r="AL308" t="s">
        <v>1084</v>
      </c>
      <c r="AS308" t="s">
        <v>160</v>
      </c>
      <c r="AX308" s="6">
        <v>155</v>
      </c>
      <c r="AY308" s="6" t="s">
        <v>1085</v>
      </c>
      <c r="AZ308" s="6">
        <v>118</v>
      </c>
      <c r="BA308" s="6"/>
      <c r="BB308" s="6">
        <v>-782</v>
      </c>
    </row>
    <row r="309" spans="32:55">
      <c r="AF309">
        <f t="shared" si="32"/>
        <v>0</v>
      </c>
      <c r="AG309" t="str">
        <f t="shared" si="33"/>
        <v>CoSO₄∙7H₂O (s)</v>
      </c>
      <c r="AH309" t="s">
        <v>1086</v>
      </c>
      <c r="AI309" t="s">
        <v>1087</v>
      </c>
      <c r="AJ309" t="s">
        <v>1088</v>
      </c>
      <c r="AL309" t="s">
        <v>1089</v>
      </c>
      <c r="AS309" t="s">
        <v>160</v>
      </c>
      <c r="AX309" s="6">
        <v>281.10000000000002</v>
      </c>
      <c r="AY309" s="6" t="s">
        <v>1090</v>
      </c>
      <c r="AZ309" s="6">
        <v>390.1</v>
      </c>
      <c r="BA309" s="6"/>
      <c r="BB309" s="6">
        <v>-2979.9</v>
      </c>
    </row>
    <row r="310" spans="32:55">
      <c r="AF310">
        <f t="shared" si="32"/>
        <v>0</v>
      </c>
      <c r="AG310" t="str">
        <f t="shared" si="33"/>
        <v>Cs (s)</v>
      </c>
      <c r="AH310" t="s">
        <v>1091</v>
      </c>
      <c r="AI310" t="s">
        <v>1091</v>
      </c>
      <c r="AJ310" t="s">
        <v>1091</v>
      </c>
      <c r="AL310" t="s">
        <v>1092</v>
      </c>
      <c r="AS310" t="s">
        <v>160</v>
      </c>
      <c r="AX310" s="6">
        <v>132.91</v>
      </c>
      <c r="AY310" s="6" t="s">
        <v>161</v>
      </c>
      <c r="AZ310" s="6">
        <v>85.23</v>
      </c>
      <c r="BA310" s="6"/>
      <c r="BB310" s="6">
        <v>0</v>
      </c>
    </row>
    <row r="311" spans="32:55">
      <c r="AF311">
        <f t="shared" si="32"/>
        <v>0</v>
      </c>
      <c r="AG311" t="str">
        <f t="shared" si="33"/>
        <v>Cs⁺ (g)</v>
      </c>
      <c r="AH311" t="s">
        <v>1093</v>
      </c>
      <c r="AI311" t="s">
        <v>1094</v>
      </c>
      <c r="AJ311" t="s">
        <v>1094</v>
      </c>
      <c r="AK311" t="s">
        <v>1095</v>
      </c>
      <c r="AL311" t="s">
        <v>1096</v>
      </c>
      <c r="AS311" t="s">
        <v>47</v>
      </c>
      <c r="AX311" s="6">
        <v>132.91</v>
      </c>
      <c r="AY311" s="6" t="s">
        <v>1097</v>
      </c>
      <c r="AZ311" s="6">
        <v>169.8</v>
      </c>
      <c r="BA311" s="6"/>
      <c r="BB311" s="6">
        <v>420.89</v>
      </c>
    </row>
    <row r="312" spans="32:55">
      <c r="AF312">
        <f t="shared" si="32"/>
        <v>0</v>
      </c>
      <c r="AG312" t="str">
        <f t="shared" si="33"/>
        <v>Cs⁺ (aq)</v>
      </c>
      <c r="AH312" t="s">
        <v>1093</v>
      </c>
      <c r="AI312" t="s">
        <v>1094</v>
      </c>
      <c r="AJ312" t="s">
        <v>1094</v>
      </c>
      <c r="AL312" t="s">
        <v>1096</v>
      </c>
      <c r="AS312" t="s">
        <v>48</v>
      </c>
      <c r="AX312" s="6">
        <v>132.91</v>
      </c>
      <c r="AY312" s="6" t="s">
        <v>1098</v>
      </c>
      <c r="AZ312" s="6">
        <v>132.1</v>
      </c>
      <c r="BA312" s="6"/>
      <c r="BB312" s="6">
        <v>-282</v>
      </c>
    </row>
    <row r="313" spans="32:55">
      <c r="AF313">
        <f t="shared" si="32"/>
        <v>0</v>
      </c>
      <c r="AG313" t="str">
        <f t="shared" si="33"/>
        <v>CsBr (s)</v>
      </c>
      <c r="AH313" t="s">
        <v>1099</v>
      </c>
      <c r="AI313" t="s">
        <v>1099</v>
      </c>
      <c r="AJ313" t="s">
        <v>1099</v>
      </c>
      <c r="AL313" t="s">
        <v>1100</v>
      </c>
      <c r="AS313" t="s">
        <v>160</v>
      </c>
      <c r="AX313" s="6">
        <v>212.81</v>
      </c>
      <c r="AY313" s="6" t="s">
        <v>1101</v>
      </c>
      <c r="AZ313" s="6">
        <v>113.3</v>
      </c>
      <c r="BA313" s="6"/>
      <c r="BB313" s="6">
        <v>-391.4</v>
      </c>
    </row>
    <row r="314" spans="32:55">
      <c r="AF314">
        <f t="shared" si="32"/>
        <v>0</v>
      </c>
      <c r="AG314" t="str">
        <f t="shared" si="33"/>
        <v>CsCl (s)</v>
      </c>
      <c r="AH314" t="s">
        <v>1102</v>
      </c>
      <c r="AI314" t="s">
        <v>1102</v>
      </c>
      <c r="AJ314" t="s">
        <v>1102</v>
      </c>
      <c r="AL314" t="s">
        <v>1103</v>
      </c>
      <c r="AS314" t="s">
        <v>160</v>
      </c>
      <c r="AX314" s="6">
        <v>168.36</v>
      </c>
      <c r="AY314" s="6" t="s">
        <v>1104</v>
      </c>
      <c r="AZ314" s="6">
        <v>101.2</v>
      </c>
      <c r="BA314" s="6"/>
      <c r="BB314" s="6">
        <v>-414.5</v>
      </c>
    </row>
    <row r="315" spans="32:55">
      <c r="AF315">
        <f t="shared" si="32"/>
        <v>0</v>
      </c>
      <c r="AG315" t="str">
        <f t="shared" si="33"/>
        <v>CsF (s)</v>
      </c>
      <c r="AH315" t="s">
        <v>1105</v>
      </c>
      <c r="AI315" t="s">
        <v>1105</v>
      </c>
      <c r="AJ315" t="s">
        <v>1105</v>
      </c>
      <c r="AL315" t="s">
        <v>1106</v>
      </c>
      <c r="AS315" t="s">
        <v>160</v>
      </c>
      <c r="AX315" s="6">
        <v>151.9</v>
      </c>
      <c r="AY315" s="6" t="s">
        <v>1107</v>
      </c>
      <c r="AZ315" s="6">
        <v>92.8</v>
      </c>
      <c r="BA315" s="6"/>
      <c r="BB315" s="6">
        <v>-525.5</v>
      </c>
    </row>
    <row r="316" spans="32:55">
      <c r="AF316">
        <f t="shared" si="32"/>
        <v>0</v>
      </c>
      <c r="AG316" t="str">
        <f t="shared" si="33"/>
        <v>CsH (s)</v>
      </c>
      <c r="AH316" t="s">
        <v>1108</v>
      </c>
      <c r="AI316" t="s">
        <v>1108</v>
      </c>
      <c r="AJ316" t="s">
        <v>1108</v>
      </c>
      <c r="AL316" t="s">
        <v>1109</v>
      </c>
      <c r="AS316" t="s">
        <v>160</v>
      </c>
      <c r="AX316" s="6">
        <v>133.91</v>
      </c>
      <c r="AY316" s="6" t="s">
        <v>1110</v>
      </c>
      <c r="AZ316" s="6" t="s">
        <v>168</v>
      </c>
      <c r="BA316" s="6"/>
      <c r="BB316" s="6" t="s">
        <v>168</v>
      </c>
      <c r="BC316" s="6"/>
    </row>
    <row r="317" spans="32:55">
      <c r="AF317">
        <f t="shared" si="32"/>
        <v>0</v>
      </c>
      <c r="AG317" t="str">
        <f t="shared" si="33"/>
        <v>CsOH (s)</v>
      </c>
      <c r="AH317" t="s">
        <v>1111</v>
      </c>
      <c r="AI317" t="s">
        <v>1111</v>
      </c>
      <c r="AJ317" t="s">
        <v>1111</v>
      </c>
      <c r="AL317" t="s">
        <v>1112</v>
      </c>
      <c r="AS317" t="s">
        <v>160</v>
      </c>
      <c r="AX317" s="6">
        <v>149.91</v>
      </c>
      <c r="AY317" s="6" t="s">
        <v>1113</v>
      </c>
      <c r="AZ317" s="6">
        <v>104.2</v>
      </c>
      <c r="BA317" s="6"/>
      <c r="BB317" s="6">
        <v>-371.8</v>
      </c>
    </row>
    <row r="318" spans="32:55">
      <c r="AF318">
        <f t="shared" si="32"/>
        <v>0</v>
      </c>
      <c r="AG318" t="str">
        <f t="shared" si="33"/>
        <v>CsI (s)</v>
      </c>
      <c r="AH318" t="s">
        <v>1114</v>
      </c>
      <c r="AI318" t="s">
        <v>1114</v>
      </c>
      <c r="AJ318" t="s">
        <v>1114</v>
      </c>
      <c r="AL318" t="s">
        <v>1115</v>
      </c>
      <c r="AS318" t="s">
        <v>160</v>
      </c>
      <c r="AX318" s="6">
        <v>259.81</v>
      </c>
      <c r="AY318" s="6" t="s">
        <v>1116</v>
      </c>
      <c r="AZ318" s="6">
        <v>123.1</v>
      </c>
      <c r="BA318" s="6"/>
      <c r="BB318" s="6">
        <v>-340.6</v>
      </c>
    </row>
    <row r="319" spans="32:55">
      <c r="AF319">
        <f t="shared" si="32"/>
        <v>0</v>
      </c>
      <c r="AG319" t="str">
        <f t="shared" si="33"/>
        <v>Cs₂O (s)</v>
      </c>
      <c r="AH319" t="s">
        <v>1117</v>
      </c>
      <c r="AI319" t="s">
        <v>1118</v>
      </c>
      <c r="AJ319" t="s">
        <v>1118</v>
      </c>
      <c r="AL319" t="s">
        <v>1119</v>
      </c>
      <c r="AS319" t="s">
        <v>160</v>
      </c>
      <c r="AX319" s="6">
        <v>281.81</v>
      </c>
      <c r="AY319" s="6" t="s">
        <v>1120</v>
      </c>
      <c r="AZ319" s="6">
        <v>146.9</v>
      </c>
      <c r="BA319" s="6"/>
      <c r="BB319" s="6">
        <v>-308.10000000000002</v>
      </c>
    </row>
    <row r="320" spans="32:55">
      <c r="AF320">
        <f t="shared" si="32"/>
        <v>0</v>
      </c>
      <c r="AG320" t="str">
        <f t="shared" si="33"/>
        <v>F (g)</v>
      </c>
      <c r="AH320" t="s">
        <v>1121</v>
      </c>
      <c r="AI320" t="s">
        <v>1121</v>
      </c>
      <c r="AJ320" t="s">
        <v>1121</v>
      </c>
      <c r="AL320" t="s">
        <v>1122</v>
      </c>
      <c r="AS320" t="s">
        <v>47</v>
      </c>
      <c r="AX320" s="6">
        <v>19</v>
      </c>
      <c r="AY320" s="6" t="s">
        <v>1123</v>
      </c>
      <c r="AZ320" s="6">
        <v>158.75</v>
      </c>
      <c r="BA320" s="6"/>
      <c r="BB320" s="6">
        <v>61.83</v>
      </c>
    </row>
    <row r="321" spans="32:55">
      <c r="AF321">
        <f t="shared" si="32"/>
        <v>0</v>
      </c>
      <c r="AG321" t="str">
        <f t="shared" si="33"/>
        <v>F₂ (g)</v>
      </c>
      <c r="AH321" t="s">
        <v>1124</v>
      </c>
      <c r="AI321" t="s">
        <v>1125</v>
      </c>
      <c r="AJ321" t="s">
        <v>1125</v>
      </c>
      <c r="AL321" t="s">
        <v>1126</v>
      </c>
      <c r="AS321" t="s">
        <v>47</v>
      </c>
      <c r="AX321" s="6">
        <v>38</v>
      </c>
      <c r="AY321" s="6" t="s">
        <v>161</v>
      </c>
      <c r="AZ321" s="6">
        <v>202.79</v>
      </c>
      <c r="BA321" s="6"/>
      <c r="BB321" s="6">
        <v>0</v>
      </c>
    </row>
    <row r="322" spans="32:55">
      <c r="AF322">
        <f t="shared" si="32"/>
        <v>0</v>
      </c>
      <c r="AG322" t="str">
        <f t="shared" si="33"/>
        <v>F⁻ (g)</v>
      </c>
      <c r="AH322" t="s">
        <v>1127</v>
      </c>
      <c r="AI322" t="s">
        <v>1128</v>
      </c>
      <c r="AJ322" t="s">
        <v>1128</v>
      </c>
      <c r="AL322" t="s">
        <v>1129</v>
      </c>
      <c r="AS322" t="s">
        <v>47</v>
      </c>
      <c r="AX322" s="6">
        <v>19</v>
      </c>
      <c r="AY322" s="6" t="s">
        <v>1130</v>
      </c>
      <c r="AZ322" s="6">
        <v>145.58000000000001</v>
      </c>
      <c r="BA322" s="6"/>
      <c r="BB322" s="6">
        <v>-267.16000000000003</v>
      </c>
    </row>
    <row r="323" spans="32:55">
      <c r="AF323">
        <f t="shared" ref="AF323:AF386" si="34">IF(OR(AG323="",COUNTIF(AG:AG, AG323) = 1),0, "1")</f>
        <v>0</v>
      </c>
      <c r="AG323" t="str">
        <f t="shared" ref="AG323:AG386" si="35">IF(AS323 &lt;&gt; "",AH323&amp;" ("&amp;AS323 &amp;")","")</f>
        <v>F⁻ (aq)</v>
      </c>
      <c r="AH323" t="s">
        <v>1127</v>
      </c>
      <c r="AI323" t="s">
        <v>1128</v>
      </c>
      <c r="AJ323" t="s">
        <v>1128</v>
      </c>
      <c r="AL323" t="s">
        <v>1129</v>
      </c>
      <c r="AS323" t="s">
        <v>48</v>
      </c>
      <c r="AX323" s="6">
        <v>19</v>
      </c>
      <c r="AY323" s="6" t="s">
        <v>1131</v>
      </c>
      <c r="AZ323" s="6">
        <v>-13.8</v>
      </c>
      <c r="BA323" s="6"/>
      <c r="BB323" s="6">
        <v>-278.82</v>
      </c>
    </row>
    <row r="324" spans="32:55">
      <c r="AF324">
        <f t="shared" si="34"/>
        <v>0</v>
      </c>
      <c r="AG324" t="str">
        <f t="shared" si="35"/>
        <v>F₂O (g)</v>
      </c>
      <c r="AH324" t="s">
        <v>1132</v>
      </c>
      <c r="AI324" t="s">
        <v>1133</v>
      </c>
      <c r="AJ324" t="s">
        <v>1133</v>
      </c>
      <c r="AL324" t="s">
        <v>1134</v>
      </c>
      <c r="AS324" t="s">
        <v>47</v>
      </c>
      <c r="AX324" s="6">
        <v>54</v>
      </c>
      <c r="AY324" s="6" t="s">
        <v>1135</v>
      </c>
      <c r="AZ324" s="6">
        <v>247.5</v>
      </c>
      <c r="BA324" s="6"/>
      <c r="BB324" s="6">
        <v>-41.8</v>
      </c>
    </row>
    <row r="325" spans="32:55">
      <c r="AF325">
        <f t="shared" si="34"/>
        <v>0</v>
      </c>
      <c r="AG325" t="str">
        <f t="shared" si="35"/>
        <v>HF (g)</v>
      </c>
      <c r="AH325" t="s">
        <v>1136</v>
      </c>
      <c r="AI325" t="s">
        <v>1136</v>
      </c>
      <c r="AJ325" t="s">
        <v>1136</v>
      </c>
      <c r="AL325" t="s">
        <v>1137</v>
      </c>
      <c r="AS325" t="s">
        <v>47</v>
      </c>
      <c r="AX325" s="6">
        <v>20.010000000000002</v>
      </c>
      <c r="AY325" s="6" t="s">
        <v>1138</v>
      </c>
      <c r="AZ325" s="6">
        <v>173.8</v>
      </c>
      <c r="BA325" s="6"/>
      <c r="BB325" s="6">
        <v>-275.39999999999998</v>
      </c>
    </row>
    <row r="326" spans="32:55">
      <c r="AF326">
        <f t="shared" si="34"/>
        <v>0</v>
      </c>
      <c r="AG326" t="str">
        <f t="shared" si="35"/>
        <v>HF (aq)</v>
      </c>
      <c r="AH326" t="s">
        <v>1136</v>
      </c>
      <c r="AI326" t="s">
        <v>1136</v>
      </c>
      <c r="AJ326" t="s">
        <v>1136</v>
      </c>
      <c r="AK326" t="s">
        <v>1139</v>
      </c>
      <c r="AL326" t="s">
        <v>1137</v>
      </c>
      <c r="AS326" t="s">
        <v>48</v>
      </c>
      <c r="AX326" s="6">
        <v>20.010000000000002</v>
      </c>
      <c r="AY326" s="6" t="s">
        <v>1140</v>
      </c>
      <c r="AZ326" s="6">
        <v>88.7</v>
      </c>
      <c r="BA326" s="6"/>
      <c r="BB326" s="6">
        <v>-296.86</v>
      </c>
    </row>
    <row r="327" spans="32:55">
      <c r="AF327">
        <f t="shared" si="34"/>
        <v>0</v>
      </c>
      <c r="AG327" t="str">
        <f t="shared" si="35"/>
        <v>HF₂⁻ (aq)</v>
      </c>
      <c r="AH327" t="s">
        <v>1141</v>
      </c>
      <c r="AI327" t="s">
        <v>1142</v>
      </c>
      <c r="AJ327" t="s">
        <v>1142</v>
      </c>
      <c r="AL327" t="s">
        <v>1143</v>
      </c>
      <c r="AS327" t="s">
        <v>48</v>
      </c>
      <c r="AX327" s="6">
        <v>39</v>
      </c>
      <c r="AY327" s="6" t="s">
        <v>1144</v>
      </c>
      <c r="AZ327" s="6">
        <v>92.5</v>
      </c>
      <c r="BA327" s="6"/>
      <c r="BB327" s="6">
        <v>-578.1</v>
      </c>
    </row>
    <row r="328" spans="32:55">
      <c r="AF328">
        <f t="shared" si="34"/>
        <v>0</v>
      </c>
      <c r="AG328" t="str">
        <f t="shared" si="35"/>
        <v>Ge (s)</v>
      </c>
      <c r="AH328" t="s">
        <v>1145</v>
      </c>
      <c r="AI328" t="s">
        <v>1145</v>
      </c>
      <c r="AJ328" t="s">
        <v>1145</v>
      </c>
      <c r="AL328" t="s">
        <v>1146</v>
      </c>
      <c r="AS328" t="s">
        <v>160</v>
      </c>
      <c r="AX328" s="6">
        <v>72.59</v>
      </c>
      <c r="AY328" s="6" t="s">
        <v>161</v>
      </c>
      <c r="AZ328" s="6">
        <v>31.09</v>
      </c>
      <c r="BA328" s="6"/>
      <c r="BB328" s="6">
        <v>0</v>
      </c>
    </row>
    <row r="329" spans="32:55">
      <c r="AF329">
        <f t="shared" si="34"/>
        <v>0</v>
      </c>
      <c r="AG329" t="str">
        <f t="shared" si="35"/>
        <v>GeH₄ (g)</v>
      </c>
      <c r="AH329" t="s">
        <v>1147</v>
      </c>
      <c r="AI329" t="s">
        <v>1148</v>
      </c>
      <c r="AJ329" t="s">
        <v>1148</v>
      </c>
      <c r="AL329" t="s">
        <v>1149</v>
      </c>
      <c r="AS329" t="s">
        <v>47</v>
      </c>
      <c r="AX329" s="6">
        <v>76.62</v>
      </c>
      <c r="AY329" s="6" t="s">
        <v>1150</v>
      </c>
      <c r="AZ329" s="6">
        <v>217.1</v>
      </c>
      <c r="BA329" s="6"/>
      <c r="BB329" s="6">
        <v>113.4</v>
      </c>
    </row>
    <row r="330" spans="32:55">
      <c r="AF330">
        <f t="shared" si="34"/>
        <v>0</v>
      </c>
      <c r="AG330" t="str">
        <f t="shared" si="35"/>
        <v>Ge₂H₆ (l)</v>
      </c>
      <c r="AH330" t="s">
        <v>1151</v>
      </c>
      <c r="AI330" t="s">
        <v>1152</v>
      </c>
      <c r="AJ330" t="s">
        <v>1152</v>
      </c>
      <c r="AL330" t="s">
        <v>1153</v>
      </c>
      <c r="AS330" t="s">
        <v>239</v>
      </c>
      <c r="AX330" s="6">
        <v>151.22999999999999</v>
      </c>
      <c r="AY330" s="6" t="s">
        <v>1154</v>
      </c>
      <c r="AZ330" s="6">
        <v>297</v>
      </c>
      <c r="BA330" s="6"/>
      <c r="BB330" s="6" t="s">
        <v>1155</v>
      </c>
      <c r="BC330" s="6"/>
    </row>
    <row r="331" spans="32:55">
      <c r="AF331">
        <f t="shared" si="34"/>
        <v>0</v>
      </c>
      <c r="AG331" t="str">
        <f t="shared" si="35"/>
        <v>GeO₂ (s)</v>
      </c>
      <c r="AH331" t="s">
        <v>1156</v>
      </c>
      <c r="AI331" t="s">
        <v>1157</v>
      </c>
      <c r="AJ331" t="s">
        <v>1157</v>
      </c>
      <c r="AL331" t="s">
        <v>1158</v>
      </c>
      <c r="AS331" t="s">
        <v>160</v>
      </c>
      <c r="AX331" s="6">
        <v>104.59</v>
      </c>
      <c r="AY331" s="6" t="s">
        <v>1159</v>
      </c>
      <c r="AZ331" s="6">
        <v>39.700000000000003</v>
      </c>
      <c r="BA331" s="6"/>
      <c r="BB331" s="6">
        <v>-521.4</v>
      </c>
    </row>
    <row r="332" spans="32:55">
      <c r="AF332">
        <f t="shared" si="34"/>
        <v>0</v>
      </c>
      <c r="AG332" t="str">
        <f t="shared" si="35"/>
        <v>Au (s)</v>
      </c>
      <c r="AH332" t="s">
        <v>1160</v>
      </c>
      <c r="AI332" t="s">
        <v>1160</v>
      </c>
      <c r="AJ332" t="s">
        <v>1160</v>
      </c>
      <c r="AL332" t="s">
        <v>1161</v>
      </c>
      <c r="AS332" t="s">
        <v>160</v>
      </c>
      <c r="AX332" s="6">
        <v>196.97</v>
      </c>
      <c r="AY332" s="6" t="s">
        <v>161</v>
      </c>
      <c r="AZ332" s="6">
        <v>47.4</v>
      </c>
      <c r="BA332" s="6"/>
      <c r="BB332" s="6">
        <v>0</v>
      </c>
    </row>
    <row r="333" spans="32:55">
      <c r="AF333">
        <f t="shared" si="34"/>
        <v>0</v>
      </c>
      <c r="AG333" t="str">
        <f t="shared" si="35"/>
        <v>AuCl (s)</v>
      </c>
      <c r="AH333" t="s">
        <v>1162</v>
      </c>
      <c r="AI333" t="s">
        <v>1162</v>
      </c>
      <c r="AJ333" t="s">
        <v>1162</v>
      </c>
      <c r="AK333" t="s">
        <v>1163</v>
      </c>
      <c r="AL333" t="s">
        <v>1164</v>
      </c>
      <c r="AS333" t="s">
        <v>160</v>
      </c>
      <c r="AX333" s="6">
        <v>232.42</v>
      </c>
      <c r="AY333" s="6" t="s">
        <v>1165</v>
      </c>
      <c r="AZ333" s="6" t="s">
        <v>168</v>
      </c>
      <c r="BA333" s="6"/>
      <c r="BB333" s="6" t="s">
        <v>168</v>
      </c>
      <c r="BC333" s="6"/>
    </row>
    <row r="334" spans="32:55">
      <c r="AF334">
        <f t="shared" si="34"/>
        <v>0</v>
      </c>
      <c r="AG334" t="str">
        <f t="shared" si="35"/>
        <v>AuCl₃ (s)</v>
      </c>
      <c r="AH334" t="s">
        <v>1166</v>
      </c>
      <c r="AI334" t="s">
        <v>1167</v>
      </c>
      <c r="AJ334" t="s">
        <v>1167</v>
      </c>
      <c r="AK334" t="s">
        <v>1168</v>
      </c>
      <c r="AL334" t="s">
        <v>1169</v>
      </c>
      <c r="AS334" t="s">
        <v>160</v>
      </c>
      <c r="AX334" s="6">
        <v>303.33</v>
      </c>
      <c r="AY334" s="6" t="s">
        <v>1170</v>
      </c>
      <c r="AZ334" s="6" t="s">
        <v>168</v>
      </c>
      <c r="BA334" s="6"/>
      <c r="BB334" s="6" t="s">
        <v>168</v>
      </c>
      <c r="BC334" s="6"/>
    </row>
    <row r="335" spans="32:55">
      <c r="AF335">
        <f t="shared" si="34"/>
        <v>0</v>
      </c>
      <c r="AG335" t="str">
        <f t="shared" si="35"/>
        <v>AuCl₄⁻ (aq)</v>
      </c>
      <c r="AH335" t="s">
        <v>1171</v>
      </c>
      <c r="AI335" t="s">
        <v>1172</v>
      </c>
      <c r="AJ335" t="s">
        <v>1172</v>
      </c>
      <c r="AL335" t="s">
        <v>1173</v>
      </c>
      <c r="AS335" t="s">
        <v>48</v>
      </c>
      <c r="AX335" s="6">
        <v>338.78</v>
      </c>
      <c r="AY335" s="6" t="s">
        <v>1174</v>
      </c>
      <c r="AZ335" s="6">
        <v>267</v>
      </c>
      <c r="BA335" s="6"/>
      <c r="BB335" s="6">
        <v>-234.6</v>
      </c>
    </row>
    <row r="336" spans="32:55">
      <c r="AF336">
        <f t="shared" si="34"/>
        <v>0</v>
      </c>
      <c r="AG336" t="str">
        <f t="shared" si="35"/>
        <v>He (g)</v>
      </c>
      <c r="AH336" t="s">
        <v>1175</v>
      </c>
      <c r="AI336" t="s">
        <v>1175</v>
      </c>
      <c r="AJ336" t="s">
        <v>1175</v>
      </c>
      <c r="AL336" t="s">
        <v>1176</v>
      </c>
      <c r="AS336" t="s">
        <v>47</v>
      </c>
      <c r="AX336" s="6">
        <v>4</v>
      </c>
      <c r="AY336" s="6" t="s">
        <v>161</v>
      </c>
      <c r="AZ336" s="6">
        <v>126.15</v>
      </c>
      <c r="BA336" s="6"/>
      <c r="BB336" s="6">
        <v>0</v>
      </c>
    </row>
    <row r="337" spans="32:54">
      <c r="AF337">
        <f t="shared" si="34"/>
        <v>0</v>
      </c>
      <c r="AG337" t="str">
        <f t="shared" si="35"/>
        <v>H (g)</v>
      </c>
      <c r="AH337" t="s">
        <v>1177</v>
      </c>
      <c r="AI337" t="s">
        <v>1177</v>
      </c>
      <c r="AJ337" t="s">
        <v>1177</v>
      </c>
      <c r="AL337" t="s">
        <v>1178</v>
      </c>
      <c r="AS337" t="s">
        <v>47</v>
      </c>
      <c r="AX337" s="6">
        <v>1.008</v>
      </c>
      <c r="AY337" s="6" t="s">
        <v>1179</v>
      </c>
      <c r="AZ337" s="6">
        <v>114.82</v>
      </c>
      <c r="BA337" s="6"/>
      <c r="BB337" s="6">
        <v>203.28</v>
      </c>
    </row>
    <row r="338" spans="32:54">
      <c r="AF338">
        <f t="shared" si="34"/>
        <v>0</v>
      </c>
      <c r="AG338" t="str">
        <f t="shared" si="35"/>
        <v>H₂ (g)</v>
      </c>
      <c r="AH338" t="s">
        <v>1180</v>
      </c>
      <c r="AI338" t="s">
        <v>1181</v>
      </c>
      <c r="AJ338" t="s">
        <v>1181</v>
      </c>
      <c r="AK338" t="s">
        <v>1182</v>
      </c>
      <c r="AL338" t="s">
        <v>1183</v>
      </c>
      <c r="AS338" t="s">
        <v>47</v>
      </c>
      <c r="AX338" s="6">
        <v>2.016</v>
      </c>
      <c r="AY338" s="6" t="s">
        <v>161</v>
      </c>
      <c r="AZ338" s="6">
        <v>130.68</v>
      </c>
      <c r="BA338" s="6"/>
      <c r="BB338" s="6">
        <v>0</v>
      </c>
    </row>
    <row r="339" spans="32:54">
      <c r="AF339">
        <f t="shared" si="34"/>
        <v>0</v>
      </c>
      <c r="AG339" t="str">
        <f t="shared" si="35"/>
        <v>H⁺ (g)</v>
      </c>
      <c r="AH339" t="s">
        <v>1184</v>
      </c>
      <c r="AI339" t="s">
        <v>1185</v>
      </c>
      <c r="AJ339" t="s">
        <v>1185</v>
      </c>
      <c r="AL339" t="s">
        <v>1186</v>
      </c>
      <c r="AS339" t="s">
        <v>47</v>
      </c>
      <c r="AX339" s="6">
        <v>1.008</v>
      </c>
      <c r="AY339" s="6" t="s">
        <v>1187</v>
      </c>
      <c r="AZ339" s="6">
        <v>109</v>
      </c>
      <c r="BA339" s="6"/>
      <c r="BB339" s="6">
        <v>1517</v>
      </c>
    </row>
    <row r="340" spans="32:54">
      <c r="AF340">
        <f t="shared" si="34"/>
        <v>0</v>
      </c>
      <c r="AG340" t="str">
        <f t="shared" si="35"/>
        <v>H⁺ (aq)</v>
      </c>
      <c r="AH340" t="s">
        <v>1184</v>
      </c>
      <c r="AI340" t="s">
        <v>1185</v>
      </c>
      <c r="AJ340" t="s">
        <v>1185</v>
      </c>
      <c r="AL340" t="s">
        <v>1186</v>
      </c>
      <c r="AS340" t="s">
        <v>48</v>
      </c>
      <c r="AX340" s="6">
        <v>1.008</v>
      </c>
      <c r="AY340" s="6" t="s">
        <v>161</v>
      </c>
      <c r="AZ340" s="6">
        <v>0</v>
      </c>
      <c r="BA340" s="6"/>
      <c r="BB340" s="6">
        <v>0</v>
      </c>
    </row>
    <row r="341" spans="32:54">
      <c r="AF341">
        <f t="shared" si="34"/>
        <v>0</v>
      </c>
      <c r="AG341" t="str">
        <f t="shared" si="35"/>
        <v>H⁻ (g)</v>
      </c>
      <c r="AH341" t="s">
        <v>1188</v>
      </c>
      <c r="AI341" t="s">
        <v>1189</v>
      </c>
      <c r="AJ341" t="s">
        <v>1189</v>
      </c>
      <c r="AL341" t="s">
        <v>1190</v>
      </c>
      <c r="AS341" t="s">
        <v>47</v>
      </c>
      <c r="AX341" s="6">
        <v>1.008</v>
      </c>
      <c r="AY341" s="6" t="s">
        <v>1191</v>
      </c>
      <c r="AZ341" s="6">
        <v>109</v>
      </c>
      <c r="BA341" s="6"/>
      <c r="BB341" s="6">
        <v>133</v>
      </c>
    </row>
    <row r="342" spans="32:54">
      <c r="AF342">
        <f t="shared" si="34"/>
        <v>0</v>
      </c>
      <c r="AG342" t="str">
        <f t="shared" si="35"/>
        <v>H⁻ (aq)</v>
      </c>
      <c r="AH342" t="s">
        <v>1188</v>
      </c>
      <c r="AI342" t="s">
        <v>1189</v>
      </c>
      <c r="AJ342" t="s">
        <v>1189</v>
      </c>
      <c r="AL342" t="s">
        <v>1190</v>
      </c>
      <c r="AS342" t="s">
        <v>48</v>
      </c>
      <c r="AX342" s="6">
        <v>1.008</v>
      </c>
      <c r="AY342" s="6" t="s">
        <v>168</v>
      </c>
      <c r="AZ342" s="6" t="s">
        <v>168</v>
      </c>
      <c r="BA342" s="6"/>
      <c r="BB342" s="6">
        <v>217.7</v>
      </c>
    </row>
    <row r="343" spans="32:54">
      <c r="AF343">
        <f t="shared" si="34"/>
        <v>0</v>
      </c>
      <c r="AG343" t="str">
        <f t="shared" si="35"/>
        <v>D₂O (g)</v>
      </c>
      <c r="AH343" t="s">
        <v>1192</v>
      </c>
      <c r="AI343" t="s">
        <v>1193</v>
      </c>
      <c r="AJ343" t="s">
        <v>1193</v>
      </c>
      <c r="AK343" t="s">
        <v>1194</v>
      </c>
      <c r="AL343" t="s">
        <v>1195</v>
      </c>
      <c r="AS343" t="s">
        <v>47</v>
      </c>
      <c r="AX343" s="6">
        <v>4.0279999999999996</v>
      </c>
      <c r="AY343" s="6" t="s">
        <v>161</v>
      </c>
      <c r="AZ343" s="6">
        <v>145.07</v>
      </c>
      <c r="BA343" s="6"/>
      <c r="BB343" s="6">
        <v>0</v>
      </c>
    </row>
    <row r="344" spans="32:54">
      <c r="AF344">
        <f t="shared" si="34"/>
        <v>0</v>
      </c>
      <c r="AG344" t="str">
        <f t="shared" si="35"/>
        <v>H₃O⁺ (aq)</v>
      </c>
      <c r="AH344" t="s">
        <v>1196</v>
      </c>
      <c r="AI344" t="s">
        <v>1197</v>
      </c>
      <c r="AJ344" t="s">
        <v>1197</v>
      </c>
      <c r="AL344" t="s">
        <v>1198</v>
      </c>
      <c r="AS344" t="s">
        <v>48</v>
      </c>
      <c r="AX344" s="6">
        <v>19.023</v>
      </c>
      <c r="AY344" s="6" t="s">
        <v>1199</v>
      </c>
      <c r="AZ344" s="6">
        <v>69.95</v>
      </c>
      <c r="BA344" s="6"/>
      <c r="BB344" s="6">
        <v>-237.13</v>
      </c>
    </row>
    <row r="345" spans="32:54">
      <c r="AF345">
        <f t="shared" si="34"/>
        <v>0</v>
      </c>
      <c r="AG345" t="str">
        <f t="shared" si="35"/>
        <v>I (g)</v>
      </c>
      <c r="AH345" t="s">
        <v>1200</v>
      </c>
      <c r="AI345" t="s">
        <v>1200</v>
      </c>
      <c r="AJ345" t="s">
        <v>1200</v>
      </c>
      <c r="AL345" t="s">
        <v>1201</v>
      </c>
      <c r="AS345" t="s">
        <v>47</v>
      </c>
      <c r="AX345" s="6">
        <v>126.9</v>
      </c>
      <c r="AY345" s="6" t="s">
        <v>1202</v>
      </c>
      <c r="AZ345" s="6">
        <v>180.79</v>
      </c>
      <c r="BA345" s="6"/>
      <c r="BB345" s="6">
        <v>70.2</v>
      </c>
    </row>
    <row r="346" spans="32:54">
      <c r="AF346">
        <f t="shared" si="34"/>
        <v>0</v>
      </c>
      <c r="AG346" t="str">
        <f t="shared" si="35"/>
        <v>I₂ (s)</v>
      </c>
      <c r="AH346" t="s">
        <v>1203</v>
      </c>
      <c r="AI346" t="s">
        <v>1204</v>
      </c>
      <c r="AJ346" t="s">
        <v>1204</v>
      </c>
      <c r="AL346" t="s">
        <v>1205</v>
      </c>
      <c r="AS346" t="s">
        <v>160</v>
      </c>
      <c r="AX346" s="6">
        <v>253.81</v>
      </c>
      <c r="AY346" s="6" t="s">
        <v>161</v>
      </c>
      <c r="AZ346" s="6">
        <v>116.14</v>
      </c>
      <c r="BA346" s="6"/>
      <c r="BB346" s="6">
        <v>0</v>
      </c>
    </row>
    <row r="347" spans="32:54">
      <c r="AF347">
        <f t="shared" si="34"/>
        <v>0</v>
      </c>
      <c r="AG347" t="str">
        <f t="shared" si="35"/>
        <v>I₂ (g)</v>
      </c>
      <c r="AH347" t="s">
        <v>1203</v>
      </c>
      <c r="AI347" t="s">
        <v>1204</v>
      </c>
      <c r="AJ347" t="s">
        <v>1204</v>
      </c>
      <c r="AL347" t="s">
        <v>1205</v>
      </c>
      <c r="AS347" t="s">
        <v>47</v>
      </c>
      <c r="AX347" s="6">
        <v>253.81</v>
      </c>
      <c r="AY347" s="6" t="s">
        <v>1206</v>
      </c>
      <c r="AZ347" s="6">
        <v>260.69</v>
      </c>
      <c r="BA347" s="6"/>
      <c r="BB347" s="6">
        <v>19.3</v>
      </c>
    </row>
    <row r="348" spans="32:54">
      <c r="AF348">
        <f t="shared" si="34"/>
        <v>0</v>
      </c>
      <c r="AG348" t="str">
        <f t="shared" si="35"/>
        <v>I₂ (aq)</v>
      </c>
      <c r="AH348" t="s">
        <v>1203</v>
      </c>
      <c r="AI348" t="s">
        <v>1204</v>
      </c>
      <c r="AJ348" t="s">
        <v>1204</v>
      </c>
      <c r="AL348" t="s">
        <v>1205</v>
      </c>
      <c r="AS348" t="s">
        <v>48</v>
      </c>
      <c r="AX348" s="6">
        <v>253.81</v>
      </c>
      <c r="AY348" s="6" t="s">
        <v>1207</v>
      </c>
      <c r="AZ348" s="6">
        <v>137</v>
      </c>
      <c r="BA348" s="6"/>
      <c r="BB348" s="6">
        <v>16.43</v>
      </c>
    </row>
    <row r="349" spans="32:54">
      <c r="AF349">
        <f t="shared" si="34"/>
        <v>0</v>
      </c>
      <c r="AG349" t="str">
        <f t="shared" si="35"/>
        <v>I⁻ (g)</v>
      </c>
      <c r="AH349" t="s">
        <v>1208</v>
      </c>
      <c r="AI349" t="s">
        <v>1209</v>
      </c>
      <c r="AJ349" t="s">
        <v>1209</v>
      </c>
      <c r="AL349" t="s">
        <v>1210</v>
      </c>
      <c r="AS349" t="s">
        <v>47</v>
      </c>
      <c r="AX349" s="6">
        <v>126.9</v>
      </c>
      <c r="AY349" s="6" t="s">
        <v>1211</v>
      </c>
      <c r="AZ349" s="6">
        <v>169.2</v>
      </c>
      <c r="BA349" s="6"/>
      <c r="BB349" s="6">
        <v>-221.9</v>
      </c>
    </row>
    <row r="350" spans="32:54">
      <c r="AF350">
        <f t="shared" si="34"/>
        <v>0</v>
      </c>
      <c r="AG350" t="str">
        <f t="shared" si="35"/>
        <v>HI (g)</v>
      </c>
      <c r="AH350" t="s">
        <v>1212</v>
      </c>
      <c r="AI350" t="s">
        <v>1212</v>
      </c>
      <c r="AJ350" t="s">
        <v>1212</v>
      </c>
      <c r="AL350" t="s">
        <v>1213</v>
      </c>
      <c r="AS350" t="s">
        <v>47</v>
      </c>
      <c r="AX350" s="6">
        <v>127.91</v>
      </c>
      <c r="AY350" s="6" t="s">
        <v>1214</v>
      </c>
      <c r="AZ350" s="6">
        <v>206.44</v>
      </c>
      <c r="BA350" s="6"/>
      <c r="BB350" s="6">
        <v>1.32</v>
      </c>
    </row>
    <row r="351" spans="32:54">
      <c r="AF351">
        <f t="shared" si="34"/>
        <v>0</v>
      </c>
      <c r="AG351" t="str">
        <f t="shared" si="35"/>
        <v>HI (aq)</v>
      </c>
      <c r="AH351" t="s">
        <v>1212</v>
      </c>
      <c r="AI351" t="s">
        <v>1212</v>
      </c>
      <c r="AJ351" t="s">
        <v>1212</v>
      </c>
      <c r="AL351" t="s">
        <v>1213</v>
      </c>
      <c r="AS351" t="s">
        <v>48</v>
      </c>
      <c r="AX351" s="6">
        <v>127.91</v>
      </c>
      <c r="AY351" s="6" t="s">
        <v>1215</v>
      </c>
      <c r="AZ351" s="6">
        <v>122.76</v>
      </c>
      <c r="BA351" s="6"/>
      <c r="BB351" s="6">
        <v>3.16</v>
      </c>
    </row>
    <row r="352" spans="32:54">
      <c r="AF352">
        <f t="shared" si="34"/>
        <v>0</v>
      </c>
      <c r="AG352" t="str">
        <f t="shared" si="35"/>
        <v>I⁻ (aq)</v>
      </c>
      <c r="AH352" t="s">
        <v>1208</v>
      </c>
      <c r="AI352" t="s">
        <v>1209</v>
      </c>
      <c r="AJ352" t="s">
        <v>1209</v>
      </c>
      <c r="AL352" t="s">
        <v>1210</v>
      </c>
      <c r="AS352" t="s">
        <v>48</v>
      </c>
      <c r="AX352" s="6">
        <v>126.9</v>
      </c>
      <c r="AY352" s="6" t="s">
        <v>1216</v>
      </c>
      <c r="AZ352" s="6">
        <v>106.45</v>
      </c>
      <c r="BA352" s="6"/>
      <c r="BB352" s="6">
        <v>-51.6</v>
      </c>
    </row>
    <row r="353" spans="32:54">
      <c r="AF353">
        <f t="shared" si="34"/>
        <v>0</v>
      </c>
      <c r="AG353" t="str">
        <f t="shared" si="35"/>
        <v>I₃⁻ (aq)</v>
      </c>
      <c r="AH353" t="s">
        <v>1217</v>
      </c>
      <c r="AI353" t="s">
        <v>1218</v>
      </c>
      <c r="AJ353" t="s">
        <v>1218</v>
      </c>
      <c r="AL353" t="s">
        <v>1219</v>
      </c>
      <c r="AS353" t="s">
        <v>48</v>
      </c>
      <c r="AX353" s="6">
        <v>380.71</v>
      </c>
      <c r="AY353" s="6" t="s">
        <v>1220</v>
      </c>
      <c r="AZ353" s="6">
        <v>238.5</v>
      </c>
      <c r="BA353" s="6"/>
      <c r="BB353" s="6">
        <v>-51.5</v>
      </c>
    </row>
    <row r="354" spans="32:54">
      <c r="AF354">
        <f t="shared" si="34"/>
        <v>0</v>
      </c>
      <c r="AG354" t="str">
        <f t="shared" si="35"/>
        <v>HIO₃ (aq)</v>
      </c>
      <c r="AH354" t="s">
        <v>1221</v>
      </c>
      <c r="AI354" t="s">
        <v>1222</v>
      </c>
      <c r="AJ354" t="s">
        <v>1222</v>
      </c>
      <c r="AK354" t="s">
        <v>1223</v>
      </c>
      <c r="AL354" t="s">
        <v>1224</v>
      </c>
      <c r="AS354" t="s">
        <v>48</v>
      </c>
      <c r="AX354" s="6">
        <v>175.91</v>
      </c>
      <c r="AY354" s="6" t="s">
        <v>1225</v>
      </c>
      <c r="AZ354" s="6" t="s">
        <v>168</v>
      </c>
      <c r="BA354" s="6"/>
      <c r="BB354" s="6">
        <v>-139.34</v>
      </c>
    </row>
    <row r="355" spans="32:54">
      <c r="AF355">
        <f t="shared" si="34"/>
        <v>0</v>
      </c>
      <c r="AG355" t="str">
        <f t="shared" si="35"/>
        <v>IO₃⁻ (aq)</v>
      </c>
      <c r="AH355" t="s">
        <v>1226</v>
      </c>
      <c r="AI355" t="s">
        <v>1227</v>
      </c>
      <c r="AJ355" t="s">
        <v>1227</v>
      </c>
      <c r="AL355" t="s">
        <v>1228</v>
      </c>
      <c r="AS355" t="s">
        <v>48</v>
      </c>
      <c r="AX355" s="6">
        <v>174.9</v>
      </c>
      <c r="AY355" s="6" t="s">
        <v>1229</v>
      </c>
      <c r="AZ355" s="6">
        <v>118.4</v>
      </c>
      <c r="BA355" s="6"/>
      <c r="BB355" s="6">
        <v>-128</v>
      </c>
    </row>
    <row r="356" spans="32:54">
      <c r="AF356">
        <f t="shared" si="34"/>
        <v>0</v>
      </c>
      <c r="AG356" t="str">
        <f t="shared" si="35"/>
        <v>IN₃ (l)</v>
      </c>
      <c r="AH356" t="s">
        <v>1230</v>
      </c>
      <c r="AI356" t="s">
        <v>1231</v>
      </c>
      <c r="AJ356" t="s">
        <v>1231</v>
      </c>
      <c r="AL356" t="s">
        <v>1232</v>
      </c>
      <c r="AS356" t="s">
        <v>239</v>
      </c>
      <c r="AX356" s="6">
        <v>168.92</v>
      </c>
      <c r="AY356" s="6" t="s">
        <v>1233</v>
      </c>
      <c r="AZ356" s="6">
        <v>141</v>
      </c>
      <c r="BA356" s="6"/>
      <c r="BB356" s="6">
        <v>327</v>
      </c>
    </row>
    <row r="357" spans="32:54">
      <c r="AF357">
        <f t="shared" si="34"/>
        <v>0</v>
      </c>
      <c r="AG357" t="str">
        <f t="shared" si="35"/>
        <v>IBr (g)</v>
      </c>
      <c r="AH357" t="s">
        <v>1234</v>
      </c>
      <c r="AI357" t="s">
        <v>1234</v>
      </c>
      <c r="AJ357" t="s">
        <v>1234</v>
      </c>
      <c r="AL357" t="s">
        <v>1235</v>
      </c>
      <c r="AS357" t="s">
        <v>47</v>
      </c>
      <c r="AX357" s="6">
        <v>206.81</v>
      </c>
      <c r="AY357" s="6" t="s">
        <v>1236</v>
      </c>
      <c r="AZ357" s="6">
        <v>258.37</v>
      </c>
      <c r="BA357" s="6"/>
      <c r="BB357" s="6">
        <v>3.83</v>
      </c>
    </row>
    <row r="358" spans="32:54">
      <c r="AF358">
        <f t="shared" si="34"/>
        <v>0</v>
      </c>
      <c r="AG358" t="str">
        <f t="shared" si="35"/>
        <v>ICl (s)</v>
      </c>
      <c r="AH358" t="s">
        <v>1237</v>
      </c>
      <c r="AI358" t="s">
        <v>1237</v>
      </c>
      <c r="AJ358" t="s">
        <v>1237</v>
      </c>
      <c r="AL358" t="s">
        <v>1238</v>
      </c>
      <c r="AS358" t="s">
        <v>160</v>
      </c>
      <c r="AX358" s="6">
        <v>162.36000000000001</v>
      </c>
      <c r="AY358" s="6" t="s">
        <v>1239</v>
      </c>
      <c r="AZ358" s="6">
        <v>102.51</v>
      </c>
      <c r="BA358" s="6"/>
      <c r="BB358" s="6">
        <v>-13.56</v>
      </c>
    </row>
    <row r="359" spans="32:54">
      <c r="AF359">
        <f t="shared" si="34"/>
        <v>0</v>
      </c>
      <c r="AG359" t="str">
        <f t="shared" si="35"/>
        <v>ICl₃ (s)</v>
      </c>
      <c r="AH359" t="s">
        <v>1240</v>
      </c>
      <c r="AI359" t="s">
        <v>1241</v>
      </c>
      <c r="AJ359" t="s">
        <v>1241</v>
      </c>
      <c r="AL359" t="s">
        <v>1242</v>
      </c>
      <c r="AS359" t="s">
        <v>160</v>
      </c>
      <c r="AX359" s="6">
        <v>233.26</v>
      </c>
      <c r="AY359" s="6" t="s">
        <v>1243</v>
      </c>
      <c r="AZ359" s="6">
        <v>169.01</v>
      </c>
      <c r="BA359" s="6"/>
      <c r="BB359" s="6">
        <v>-22.62</v>
      </c>
    </row>
    <row r="360" spans="32:54">
      <c r="AF360">
        <f t="shared" si="34"/>
        <v>0</v>
      </c>
      <c r="AG360" t="str">
        <f t="shared" si="35"/>
        <v>I₂O₅ (s)</v>
      </c>
      <c r="AH360" t="s">
        <v>1244</v>
      </c>
      <c r="AI360" t="s">
        <v>1245</v>
      </c>
      <c r="AJ360" t="s">
        <v>1245</v>
      </c>
      <c r="AL360" t="s">
        <v>1246</v>
      </c>
      <c r="AS360" t="s">
        <v>160</v>
      </c>
      <c r="AX360" s="6">
        <v>333.81</v>
      </c>
      <c r="AY360" s="6" t="s">
        <v>1247</v>
      </c>
      <c r="AZ360" s="6" t="s">
        <v>168</v>
      </c>
      <c r="BA360" s="6"/>
      <c r="BB360" s="6">
        <v>-38</v>
      </c>
    </row>
    <row r="361" spans="32:54">
      <c r="AF361">
        <f t="shared" si="34"/>
        <v>0</v>
      </c>
      <c r="AG361" t="str">
        <f t="shared" si="35"/>
        <v>Fe (s)</v>
      </c>
      <c r="AH361" t="s">
        <v>1248</v>
      </c>
      <c r="AI361" t="s">
        <v>1248</v>
      </c>
      <c r="AJ361" t="s">
        <v>1248</v>
      </c>
      <c r="AL361" t="s">
        <v>1249</v>
      </c>
      <c r="AS361" t="s">
        <v>160</v>
      </c>
      <c r="AX361" s="6">
        <v>55.85</v>
      </c>
      <c r="AY361" s="6" t="s">
        <v>161</v>
      </c>
      <c r="AZ361" s="6">
        <v>27.3</v>
      </c>
      <c r="BA361" s="6"/>
      <c r="BB361" s="6">
        <v>0</v>
      </c>
    </row>
    <row r="362" spans="32:54">
      <c r="AF362">
        <f t="shared" si="34"/>
        <v>0</v>
      </c>
      <c r="AG362" t="str">
        <f t="shared" si="35"/>
        <v>Fe²⁺ (aq)</v>
      </c>
      <c r="AH362" t="s">
        <v>1250</v>
      </c>
      <c r="AI362" t="s">
        <v>1251</v>
      </c>
      <c r="AJ362" t="s">
        <v>1251</v>
      </c>
      <c r="AL362" t="s">
        <v>1252</v>
      </c>
      <c r="AS362" t="s">
        <v>48</v>
      </c>
      <c r="AX362" s="6">
        <v>55.85</v>
      </c>
      <c r="AY362" s="6" t="s">
        <v>1253</v>
      </c>
      <c r="AZ362" s="6">
        <v>-137.69999999999999</v>
      </c>
      <c r="BA362" s="6"/>
      <c r="BB362" s="6">
        <v>-78.900000000000006</v>
      </c>
    </row>
    <row r="363" spans="32:54">
      <c r="AF363">
        <f t="shared" si="34"/>
        <v>0</v>
      </c>
      <c r="AG363" t="str">
        <f t="shared" si="35"/>
        <v>Fe³⁺ (aq)</v>
      </c>
      <c r="AH363" t="s">
        <v>1254</v>
      </c>
      <c r="AI363" t="s">
        <v>1255</v>
      </c>
      <c r="AJ363" t="s">
        <v>1255</v>
      </c>
      <c r="AL363" t="s">
        <v>1256</v>
      </c>
      <c r="AS363" t="s">
        <v>48</v>
      </c>
      <c r="AX363" s="6">
        <v>55.85</v>
      </c>
      <c r="AY363" s="6" t="s">
        <v>1257</v>
      </c>
      <c r="AZ363" s="6">
        <v>-315.89999999999998</v>
      </c>
      <c r="BA363" s="6"/>
      <c r="BB363" s="6">
        <v>-4.7</v>
      </c>
    </row>
    <row r="364" spans="32:54">
      <c r="AF364">
        <f t="shared" si="34"/>
        <v>0</v>
      </c>
      <c r="AG364" t="str">
        <f t="shared" si="35"/>
        <v>Fe₃C (s)</v>
      </c>
      <c r="AH364" t="s">
        <v>1258</v>
      </c>
      <c r="AI364" t="s">
        <v>1259</v>
      </c>
      <c r="AJ364" t="s">
        <v>1259</v>
      </c>
      <c r="AL364" t="s">
        <v>1260</v>
      </c>
      <c r="AS364" t="s">
        <v>160</v>
      </c>
      <c r="AX364" s="6">
        <v>179.55</v>
      </c>
      <c r="AY364" s="6" t="s">
        <v>1261</v>
      </c>
      <c r="AZ364" s="6">
        <v>104.6</v>
      </c>
      <c r="BA364" s="6"/>
      <c r="BB364" s="6">
        <v>20.100000000000001</v>
      </c>
    </row>
    <row r="365" spans="32:54">
      <c r="AF365">
        <f t="shared" si="34"/>
        <v>0</v>
      </c>
      <c r="AG365" t="str">
        <f t="shared" si="35"/>
        <v>FeCO₃ (s)</v>
      </c>
      <c r="AH365" t="s">
        <v>1262</v>
      </c>
      <c r="AI365" t="s">
        <v>1263</v>
      </c>
      <c r="AJ365" t="s">
        <v>1263</v>
      </c>
      <c r="AK365" t="s">
        <v>1264</v>
      </c>
      <c r="AL365" t="s">
        <v>1265</v>
      </c>
      <c r="AS365" t="s">
        <v>160</v>
      </c>
      <c r="AX365" s="6">
        <v>115.85</v>
      </c>
      <c r="AY365" s="6" t="s">
        <v>1266</v>
      </c>
      <c r="AZ365" s="6">
        <v>92.9</v>
      </c>
      <c r="BA365" s="6"/>
      <c r="BB365" s="6">
        <v>-666.67</v>
      </c>
    </row>
    <row r="366" spans="32:54">
      <c r="AF366">
        <f t="shared" si="34"/>
        <v>0</v>
      </c>
      <c r="AG366" t="str">
        <f t="shared" si="35"/>
        <v>FeCl₂ (s)</v>
      </c>
      <c r="AH366" t="s">
        <v>1267</v>
      </c>
      <c r="AI366" t="s">
        <v>1268</v>
      </c>
      <c r="AJ366" t="s">
        <v>1268</v>
      </c>
      <c r="AK366" t="s">
        <v>1269</v>
      </c>
      <c r="AL366" t="s">
        <v>1270</v>
      </c>
      <c r="AS366" t="s">
        <v>160</v>
      </c>
      <c r="AX366" s="6">
        <v>126.75</v>
      </c>
      <c r="AY366" s="6" t="s">
        <v>1271</v>
      </c>
      <c r="AZ366" s="6">
        <v>118</v>
      </c>
      <c r="BA366" s="6"/>
      <c r="BB366" s="6">
        <v>-302.3</v>
      </c>
    </row>
    <row r="367" spans="32:54">
      <c r="AF367">
        <f t="shared" si="34"/>
        <v>0</v>
      </c>
      <c r="AG367" t="str">
        <f t="shared" si="35"/>
        <v>FeCl₂∙2H₂O (s)</v>
      </c>
      <c r="AH367" t="s">
        <v>1272</v>
      </c>
      <c r="AI367" t="s">
        <v>1273</v>
      </c>
      <c r="AJ367" t="s">
        <v>1274</v>
      </c>
      <c r="AL367" t="s">
        <v>1275</v>
      </c>
      <c r="AS367" t="s">
        <v>160</v>
      </c>
      <c r="AX367" s="6">
        <v>162.78</v>
      </c>
      <c r="AY367" s="6" t="s">
        <v>1276</v>
      </c>
      <c r="AZ367" s="6" t="s">
        <v>168</v>
      </c>
      <c r="BA367" s="6"/>
      <c r="BB367" s="6">
        <v>-797.4</v>
      </c>
    </row>
    <row r="368" spans="32:54">
      <c r="AF368">
        <f t="shared" si="34"/>
        <v>0</v>
      </c>
      <c r="AG368" t="str">
        <f t="shared" si="35"/>
        <v>FeCl₂∙4H₂O (s)</v>
      </c>
      <c r="AH368" t="s">
        <v>1277</v>
      </c>
      <c r="AI368" t="s">
        <v>1278</v>
      </c>
      <c r="AJ368" t="s">
        <v>1279</v>
      </c>
      <c r="AL368" t="s">
        <v>1280</v>
      </c>
      <c r="AS368" t="s">
        <v>160</v>
      </c>
      <c r="AX368" s="6">
        <v>198.81</v>
      </c>
      <c r="AY368" s="6" t="s">
        <v>1281</v>
      </c>
      <c r="AZ368" s="6" t="s">
        <v>168</v>
      </c>
      <c r="BA368" s="6"/>
      <c r="BB368" s="6">
        <v>-1275.5</v>
      </c>
    </row>
    <row r="369" spans="32:55">
      <c r="AF369">
        <f t="shared" si="34"/>
        <v>0</v>
      </c>
      <c r="AG369" t="str">
        <f t="shared" si="35"/>
        <v>FeCl₃ (s)</v>
      </c>
      <c r="AH369" t="s">
        <v>1282</v>
      </c>
      <c r="AI369" t="s">
        <v>1283</v>
      </c>
      <c r="AJ369" t="s">
        <v>1283</v>
      </c>
      <c r="AK369" t="s">
        <v>1284</v>
      </c>
      <c r="AL369" t="s">
        <v>1285</v>
      </c>
      <c r="AS369" t="s">
        <v>160</v>
      </c>
      <c r="AX369" s="6">
        <v>162.19999999999999</v>
      </c>
      <c r="AY369" s="6" t="s">
        <v>1286</v>
      </c>
      <c r="AZ369" s="6">
        <v>142.30000000000001</v>
      </c>
      <c r="BA369" s="6"/>
      <c r="BB369" s="6">
        <v>-334</v>
      </c>
    </row>
    <row r="370" spans="32:55">
      <c r="AF370">
        <f t="shared" si="34"/>
        <v>0</v>
      </c>
      <c r="AG370" t="str">
        <f t="shared" si="35"/>
        <v>FeCl₃∙6H₂O (s)</v>
      </c>
      <c r="AH370" t="s">
        <v>1287</v>
      </c>
      <c r="AI370" t="s">
        <v>1288</v>
      </c>
      <c r="AJ370" t="s">
        <v>1289</v>
      </c>
      <c r="AL370" t="s">
        <v>1290</v>
      </c>
      <c r="AS370" t="s">
        <v>160</v>
      </c>
      <c r="AX370" s="6">
        <v>270.29000000000002</v>
      </c>
      <c r="AY370" s="6" t="s">
        <v>1291</v>
      </c>
      <c r="AZ370" s="6" t="s">
        <v>168</v>
      </c>
      <c r="BA370" s="6"/>
      <c r="BB370" s="6">
        <v>-1812.6</v>
      </c>
    </row>
    <row r="371" spans="32:55">
      <c r="AF371">
        <f t="shared" si="34"/>
        <v>0</v>
      </c>
      <c r="AG371" t="str">
        <f t="shared" si="35"/>
        <v>FeS₂ (s)</v>
      </c>
      <c r="AH371" t="s">
        <v>1292</v>
      </c>
      <c r="AI371" t="s">
        <v>1293</v>
      </c>
      <c r="AJ371" t="s">
        <v>1293</v>
      </c>
      <c r="AL371" t="s">
        <v>1294</v>
      </c>
      <c r="AS371" t="s">
        <v>160</v>
      </c>
      <c r="AX371" s="6">
        <v>119.98</v>
      </c>
      <c r="AY371" s="6" t="s">
        <v>1295</v>
      </c>
      <c r="AZ371" s="6">
        <v>52.93</v>
      </c>
      <c r="BA371" s="6"/>
      <c r="BB371" s="6">
        <v>-166.9</v>
      </c>
    </row>
    <row r="372" spans="32:55">
      <c r="AF372">
        <f t="shared" si="34"/>
        <v>0</v>
      </c>
      <c r="AG372" t="str">
        <f t="shared" si="35"/>
        <v>FeO(OH)/Fe(OH)₃∙xH₂O (s)</v>
      </c>
      <c r="AH372" t="s">
        <v>1296</v>
      </c>
      <c r="AI372" t="s">
        <v>1297</v>
      </c>
      <c r="AJ372" t="s">
        <v>1298</v>
      </c>
      <c r="AL372" t="s">
        <v>1299</v>
      </c>
      <c r="AS372" t="s">
        <v>160</v>
      </c>
      <c r="AX372" s="6" t="s">
        <v>168</v>
      </c>
      <c r="AY372" s="6" t="s">
        <v>1300</v>
      </c>
      <c r="AZ372" s="6" t="s">
        <v>168</v>
      </c>
      <c r="BA372" s="6"/>
      <c r="BB372" s="6" t="s">
        <v>168</v>
      </c>
      <c r="BC372" s="6"/>
    </row>
    <row r="373" spans="32:55">
      <c r="AF373">
        <f t="shared" si="34"/>
        <v>0</v>
      </c>
      <c r="AG373" t="str">
        <f t="shared" si="35"/>
        <v>Fe(NO₃)₃∙9H₂O (s)</v>
      </c>
      <c r="AH373" t="s">
        <v>1301</v>
      </c>
      <c r="AI373" t="s">
        <v>1302</v>
      </c>
      <c r="AJ373" t="s">
        <v>1303</v>
      </c>
      <c r="AL373" t="s">
        <v>1304</v>
      </c>
      <c r="AS373" t="s">
        <v>160</v>
      </c>
      <c r="AX373" s="6">
        <v>404</v>
      </c>
      <c r="AY373" s="6" t="s">
        <v>1305</v>
      </c>
      <c r="AZ373" s="6" t="s">
        <v>168</v>
      </c>
      <c r="BA373" s="6"/>
      <c r="BB373" s="6" t="s">
        <v>168</v>
      </c>
      <c r="BC373" s="6"/>
    </row>
    <row r="374" spans="32:55">
      <c r="AF374">
        <f t="shared" si="34"/>
        <v>0</v>
      </c>
      <c r="AG374" t="str">
        <f t="shared" si="35"/>
        <v>FeO (s)</v>
      </c>
      <c r="AH374" t="s">
        <v>1306</v>
      </c>
      <c r="AI374" t="s">
        <v>1306</v>
      </c>
      <c r="AJ374" t="s">
        <v>1306</v>
      </c>
      <c r="AL374" t="s">
        <v>1307</v>
      </c>
      <c r="AS374" t="s">
        <v>160</v>
      </c>
      <c r="AX374" s="6">
        <v>71.84</v>
      </c>
      <c r="AY374" s="6" t="s">
        <v>1308</v>
      </c>
      <c r="AZ374" s="6">
        <v>58.5</v>
      </c>
      <c r="BA374" s="6"/>
      <c r="BB374" s="6">
        <v>-245.4</v>
      </c>
    </row>
    <row r="375" spans="32:55">
      <c r="AF375">
        <f t="shared" si="34"/>
        <v>0</v>
      </c>
      <c r="AG375" t="str">
        <f t="shared" si="35"/>
        <v>Fe₀.₉₄₇O (s)</v>
      </c>
      <c r="AH375" t="s">
        <v>1309</v>
      </c>
      <c r="AI375" t="s">
        <v>1310</v>
      </c>
      <c r="AJ375" t="s">
        <v>1310</v>
      </c>
      <c r="AL375" t="s">
        <v>1311</v>
      </c>
      <c r="AS375" t="s">
        <v>160</v>
      </c>
      <c r="AX375" s="6">
        <v>68.69</v>
      </c>
      <c r="AY375" s="6" t="s">
        <v>1312</v>
      </c>
      <c r="AZ375" s="6">
        <v>57.49</v>
      </c>
      <c r="BA375" s="6"/>
      <c r="BB375" s="6">
        <v>-245.14</v>
      </c>
    </row>
    <row r="376" spans="32:55">
      <c r="AF376">
        <f t="shared" si="34"/>
        <v>0</v>
      </c>
      <c r="AG376" t="str">
        <f t="shared" si="35"/>
        <v>Fe₂O₃ (s)</v>
      </c>
      <c r="AH376" t="s">
        <v>1313</v>
      </c>
      <c r="AI376" t="s">
        <v>1314</v>
      </c>
      <c r="AJ376" t="s">
        <v>1314</v>
      </c>
      <c r="AK376" t="s">
        <v>1315</v>
      </c>
      <c r="AL376" t="s">
        <v>1316</v>
      </c>
      <c r="AS376" t="s">
        <v>160</v>
      </c>
      <c r="AX376" s="6">
        <v>159.69</v>
      </c>
      <c r="AY376" s="6" t="s">
        <v>1317</v>
      </c>
      <c r="AZ376" s="6">
        <v>87.4</v>
      </c>
      <c r="BA376" s="6"/>
      <c r="BB376" s="6">
        <v>-742.2</v>
      </c>
    </row>
    <row r="377" spans="32:55">
      <c r="AF377">
        <f t="shared" si="34"/>
        <v>0</v>
      </c>
      <c r="AG377" t="str">
        <f t="shared" si="35"/>
        <v>Fe₃O₄ (s)</v>
      </c>
      <c r="AH377" t="s">
        <v>1318</v>
      </c>
      <c r="AI377" t="s">
        <v>1319</v>
      </c>
      <c r="AJ377" t="s">
        <v>1319</v>
      </c>
      <c r="AL377" t="s">
        <v>1320</v>
      </c>
      <c r="AS377" t="s">
        <v>160</v>
      </c>
      <c r="AX377" s="6">
        <v>231.53</v>
      </c>
      <c r="AY377" s="6" t="s">
        <v>1321</v>
      </c>
      <c r="AZ377" s="6">
        <v>146.4</v>
      </c>
      <c r="BA377" s="6"/>
      <c r="BB377" s="6"/>
      <c r="BC377" s="6"/>
    </row>
    <row r="378" spans="32:55">
      <c r="AF378">
        <f t="shared" si="34"/>
        <v>0</v>
      </c>
      <c r="AG378" t="str">
        <f t="shared" si="35"/>
        <v>FePO₄∙2H₂O (s)</v>
      </c>
      <c r="AH378" t="s">
        <v>1322</v>
      </c>
      <c r="AI378" t="s">
        <v>1323</v>
      </c>
      <c r="AJ378" t="s">
        <v>1324</v>
      </c>
      <c r="AL378" t="s">
        <v>1325</v>
      </c>
      <c r="AS378" t="s">
        <v>160</v>
      </c>
      <c r="AX378" s="6">
        <v>186.85</v>
      </c>
      <c r="AY378" s="6" t="s">
        <v>1326</v>
      </c>
      <c r="AZ378" s="6">
        <v>171.25</v>
      </c>
      <c r="BA378" s="6"/>
      <c r="BB378" s="6">
        <v>-1657.6</v>
      </c>
    </row>
    <row r="379" spans="32:55">
      <c r="AF379">
        <f t="shared" si="34"/>
        <v>0</v>
      </c>
      <c r="AG379" t="str">
        <f t="shared" si="35"/>
        <v>FeS (s)</v>
      </c>
      <c r="AH379" t="s">
        <v>1327</v>
      </c>
      <c r="AI379" t="s">
        <v>1327</v>
      </c>
      <c r="AJ379" t="s">
        <v>1327</v>
      </c>
      <c r="AL379" t="s">
        <v>1328</v>
      </c>
      <c r="AS379" t="s">
        <v>160</v>
      </c>
      <c r="AX379" s="6">
        <v>87.91</v>
      </c>
      <c r="AY379" s="6" t="s">
        <v>1329</v>
      </c>
      <c r="AZ379" s="6">
        <v>60.3</v>
      </c>
      <c r="BA379" s="6"/>
      <c r="BB379" s="6">
        <v>-100.4</v>
      </c>
    </row>
    <row r="380" spans="32:55">
      <c r="AF380">
        <f t="shared" si="34"/>
        <v>0</v>
      </c>
      <c r="AG380" t="str">
        <f t="shared" si="35"/>
        <v/>
      </c>
      <c r="AH380" t="s">
        <v>1330</v>
      </c>
      <c r="AI380" t="s">
        <v>1331</v>
      </c>
      <c r="AJ380" t="s">
        <v>1331</v>
      </c>
      <c r="AL380" t="s">
        <v>1332</v>
      </c>
      <c r="AS380" t="s">
        <v>220</v>
      </c>
      <c r="AX380" s="6">
        <v>207.86</v>
      </c>
      <c r="AY380" s="6" t="s">
        <v>168</v>
      </c>
      <c r="AZ380" s="6" t="s">
        <v>168</v>
      </c>
      <c r="BA380" s="6"/>
      <c r="BB380" s="6" t="s">
        <v>168</v>
      </c>
      <c r="BC380" s="6"/>
    </row>
    <row r="381" spans="32:55">
      <c r="AF381">
        <f t="shared" si="34"/>
        <v>0</v>
      </c>
      <c r="AG381" t="str">
        <f t="shared" si="35"/>
        <v>FeSO₄∙7H₂O (s)</v>
      </c>
      <c r="AH381" t="s">
        <v>1333</v>
      </c>
      <c r="AI381" t="s">
        <v>1334</v>
      </c>
      <c r="AJ381" t="s">
        <v>1335</v>
      </c>
      <c r="AK381" t="s">
        <v>1336</v>
      </c>
      <c r="AL381" t="s">
        <v>1337</v>
      </c>
      <c r="AS381" t="s">
        <v>160</v>
      </c>
      <c r="AX381" s="6">
        <v>278.02</v>
      </c>
      <c r="AY381" s="6" t="s">
        <v>1338</v>
      </c>
      <c r="AZ381" s="6">
        <v>409.2</v>
      </c>
      <c r="BA381" s="6"/>
      <c r="BB381" s="6">
        <v>-2509.86</v>
      </c>
    </row>
    <row r="382" spans="32:55">
      <c r="AF382">
        <f t="shared" si="34"/>
        <v>0</v>
      </c>
      <c r="AG382" t="str">
        <f t="shared" si="35"/>
        <v>Fe₂(SO₄)₃ (s)</v>
      </c>
      <c r="AH382" t="s">
        <v>1339</v>
      </c>
      <c r="AI382" t="s">
        <v>1340</v>
      </c>
      <c r="AJ382" t="s">
        <v>1341</v>
      </c>
      <c r="AL382" t="s">
        <v>1342</v>
      </c>
      <c r="AS382" t="s">
        <v>160</v>
      </c>
      <c r="AX382" s="6">
        <v>399.88</v>
      </c>
      <c r="AY382" s="6" t="s">
        <v>1343</v>
      </c>
      <c r="AZ382" s="6">
        <v>307.5</v>
      </c>
      <c r="BA382" s="6"/>
      <c r="BB382" s="6">
        <v>-2262.87</v>
      </c>
    </row>
    <row r="383" spans="32:55">
      <c r="AF383">
        <f t="shared" si="34"/>
        <v>0</v>
      </c>
      <c r="AG383" t="str">
        <f t="shared" si="35"/>
        <v>Fe(CO)₅ (l)</v>
      </c>
      <c r="AH383" t="s">
        <v>1344</v>
      </c>
      <c r="AI383" t="s">
        <v>1345</v>
      </c>
      <c r="AJ383" t="s">
        <v>1346</v>
      </c>
      <c r="AL383" t="s">
        <v>1347</v>
      </c>
      <c r="AS383" t="s">
        <v>239</v>
      </c>
      <c r="AX383" s="6">
        <v>195.9</v>
      </c>
      <c r="AY383" s="6" t="s">
        <v>1348</v>
      </c>
      <c r="AZ383" s="6">
        <v>338.1</v>
      </c>
      <c r="BA383" s="6"/>
      <c r="BB383" s="6">
        <v>-705.4</v>
      </c>
    </row>
    <row r="384" spans="32:55">
      <c r="AF384">
        <f t="shared" si="34"/>
        <v>0</v>
      </c>
      <c r="AG384" t="str">
        <f t="shared" si="35"/>
        <v/>
      </c>
      <c r="AH384" t="s">
        <v>1349</v>
      </c>
      <c r="AI384" t="s">
        <v>1350</v>
      </c>
      <c r="AJ384" t="s">
        <v>1351</v>
      </c>
      <c r="AL384" t="s">
        <v>1352</v>
      </c>
      <c r="AS384" t="s">
        <v>220</v>
      </c>
      <c r="AX384" s="6">
        <v>186.03</v>
      </c>
      <c r="AY384" s="6" t="s">
        <v>168</v>
      </c>
      <c r="AZ384" s="6" t="s">
        <v>168</v>
      </c>
      <c r="BA384" s="6"/>
      <c r="BB384" s="6" t="s">
        <v>168</v>
      </c>
      <c r="BC384" s="6"/>
    </row>
    <row r="385" spans="32:55">
      <c r="AF385">
        <f t="shared" si="34"/>
        <v>0</v>
      </c>
      <c r="AG385" t="str">
        <f t="shared" si="35"/>
        <v>K (s)</v>
      </c>
      <c r="AH385" t="s">
        <v>37</v>
      </c>
      <c r="AI385" t="s">
        <v>37</v>
      </c>
      <c r="AJ385" t="s">
        <v>37</v>
      </c>
      <c r="AL385" t="s">
        <v>1353</v>
      </c>
      <c r="AS385" t="s">
        <v>160</v>
      </c>
      <c r="AX385" s="6">
        <v>39.1</v>
      </c>
      <c r="AY385" s="6" t="s">
        <v>161</v>
      </c>
      <c r="AZ385" s="6">
        <v>64.680000000000007</v>
      </c>
      <c r="BA385" s="6"/>
      <c r="BB385" s="6">
        <v>0</v>
      </c>
    </row>
    <row r="386" spans="32:55">
      <c r="AF386">
        <f t="shared" si="34"/>
        <v>0</v>
      </c>
      <c r="AG386" t="str">
        <f t="shared" si="35"/>
        <v>K⁺ (g)</v>
      </c>
      <c r="AH386" t="s">
        <v>1354</v>
      </c>
      <c r="AI386" t="s">
        <v>1355</v>
      </c>
      <c r="AJ386" t="s">
        <v>1355</v>
      </c>
      <c r="AK386" t="s">
        <v>1356</v>
      </c>
      <c r="AL386" t="s">
        <v>1357</v>
      </c>
      <c r="AS386" t="s">
        <v>47</v>
      </c>
      <c r="AX386" s="6">
        <v>39.1</v>
      </c>
      <c r="AY386" s="6" t="s">
        <v>1358</v>
      </c>
      <c r="AZ386" s="6">
        <v>154.6</v>
      </c>
      <c r="BA386" s="6"/>
      <c r="BB386" s="6">
        <v>481.2</v>
      </c>
    </row>
    <row r="387" spans="32:55">
      <c r="AF387">
        <f t="shared" ref="AF387:AF450" si="36">IF(OR(AG387="",COUNTIF(AG:AG, AG387) = 1),0, "1")</f>
        <v>0</v>
      </c>
      <c r="AG387" t="str">
        <f t="shared" ref="AG387:AG450" si="37">IF(AS387 &lt;&gt; "",AH387&amp;" ("&amp;AS387 &amp;")","")</f>
        <v>K⁺ (aq)</v>
      </c>
      <c r="AH387" t="s">
        <v>1354</v>
      </c>
      <c r="AI387" t="s">
        <v>1355</v>
      </c>
      <c r="AJ387" t="s">
        <v>1355</v>
      </c>
      <c r="AL387" t="s">
        <v>1357</v>
      </c>
      <c r="AS387" t="s">
        <v>48</v>
      </c>
      <c r="AX387" s="6">
        <v>39.1</v>
      </c>
      <c r="AY387" s="6" t="s">
        <v>1359</v>
      </c>
      <c r="AZ387" s="6">
        <v>101.2</v>
      </c>
      <c r="BA387" s="6"/>
      <c r="BB387" s="6">
        <v>-283.3</v>
      </c>
    </row>
    <row r="388" spans="32:55">
      <c r="AF388">
        <f t="shared" si="36"/>
        <v>0</v>
      </c>
      <c r="AG388" t="str">
        <f t="shared" si="37"/>
        <v>KAl(SO₄)₂∙12H₂O (s)</v>
      </c>
      <c r="AH388" t="s">
        <v>1360</v>
      </c>
      <c r="AI388" t="s">
        <v>1361</v>
      </c>
      <c r="AJ388" t="s">
        <v>1362</v>
      </c>
      <c r="AK388" t="s">
        <v>1363</v>
      </c>
      <c r="AL388" t="s">
        <v>1364</v>
      </c>
      <c r="AS388" t="s">
        <v>160</v>
      </c>
      <c r="AX388" s="6">
        <v>474.39</v>
      </c>
      <c r="AY388" s="6" t="s">
        <v>1365</v>
      </c>
      <c r="AZ388" s="6">
        <v>687.4</v>
      </c>
      <c r="BA388" s="6"/>
      <c r="BB388" s="6">
        <v>-5136.3999999999996</v>
      </c>
    </row>
    <row r="389" spans="32:55">
      <c r="AF389">
        <f t="shared" si="36"/>
        <v>0</v>
      </c>
      <c r="AG389" t="str">
        <f t="shared" si="37"/>
        <v>KSb(OH)₆∙½H₂O (s)</v>
      </c>
      <c r="AH389" t="s">
        <v>1366</v>
      </c>
      <c r="AI389" t="s">
        <v>1367</v>
      </c>
      <c r="AJ389" t="s">
        <v>1368</v>
      </c>
      <c r="AL389" t="s">
        <v>1369</v>
      </c>
      <c r="AS389" t="s">
        <v>160</v>
      </c>
      <c r="AX389" s="6">
        <v>271.89999999999998</v>
      </c>
      <c r="AY389" s="6" t="s">
        <v>168</v>
      </c>
      <c r="AZ389" s="6"/>
      <c r="BA389" s="6"/>
      <c r="BB389" s="6" t="s">
        <v>168</v>
      </c>
      <c r="BC389" s="6"/>
    </row>
    <row r="390" spans="32:55">
      <c r="AF390">
        <f t="shared" si="36"/>
        <v>0</v>
      </c>
      <c r="AG390" t="str">
        <f t="shared" si="37"/>
        <v>KBrO₃ (s)</v>
      </c>
      <c r="AH390" t="s">
        <v>1370</v>
      </c>
      <c r="AI390" t="s">
        <v>1371</v>
      </c>
      <c r="AJ390" t="s">
        <v>1371</v>
      </c>
      <c r="AL390" t="s">
        <v>1372</v>
      </c>
      <c r="AS390" t="s">
        <v>160</v>
      </c>
      <c r="AX390" s="6">
        <v>167</v>
      </c>
      <c r="AY390" s="6" t="s">
        <v>1373</v>
      </c>
      <c r="AZ390" s="6">
        <v>149.1</v>
      </c>
      <c r="BA390" s="6"/>
      <c r="BB390" s="6">
        <v>-271.2</v>
      </c>
    </row>
    <row r="391" spans="32:55">
      <c r="AF391">
        <f t="shared" si="36"/>
        <v>0</v>
      </c>
      <c r="AG391" t="str">
        <f t="shared" si="37"/>
        <v>KBr (s)</v>
      </c>
      <c r="AH391" t="s">
        <v>1374</v>
      </c>
      <c r="AI391" t="s">
        <v>1374</v>
      </c>
      <c r="AJ391" t="s">
        <v>1374</v>
      </c>
      <c r="AL391" t="s">
        <v>1375</v>
      </c>
      <c r="AS391" t="s">
        <v>160</v>
      </c>
      <c r="AX391" s="6">
        <v>119</v>
      </c>
      <c r="AY391" s="6" t="s">
        <v>1376</v>
      </c>
      <c r="AZ391" s="6">
        <v>95.9</v>
      </c>
      <c r="BA391" s="6"/>
      <c r="BB391" s="6">
        <v>-380.7</v>
      </c>
    </row>
    <row r="392" spans="32:55">
      <c r="AF392">
        <f t="shared" si="36"/>
        <v>0</v>
      </c>
      <c r="AG392" t="str">
        <f t="shared" si="37"/>
        <v>K₂CO₃ (s)</v>
      </c>
      <c r="AH392" t="s">
        <v>1377</v>
      </c>
      <c r="AI392" t="s">
        <v>1378</v>
      </c>
      <c r="AJ392" t="s">
        <v>1378</v>
      </c>
      <c r="AK392" t="s">
        <v>1379</v>
      </c>
      <c r="AL392" t="s">
        <v>1380</v>
      </c>
      <c r="AS392" t="s">
        <v>160</v>
      </c>
      <c r="AX392" s="6">
        <v>138.21</v>
      </c>
      <c r="AY392" s="6" t="s">
        <v>1381</v>
      </c>
      <c r="AZ392" s="6">
        <v>155.5</v>
      </c>
      <c r="BA392" s="6"/>
      <c r="BB392" s="6">
        <v>-1063.5</v>
      </c>
    </row>
    <row r="393" spans="32:55">
      <c r="AF393">
        <f t="shared" si="36"/>
        <v>0</v>
      </c>
      <c r="AG393" t="str">
        <f t="shared" si="37"/>
        <v/>
      </c>
      <c r="AH393" t="s">
        <v>1382</v>
      </c>
      <c r="AI393" t="s">
        <v>1383</v>
      </c>
      <c r="AJ393" t="s">
        <v>1384</v>
      </c>
      <c r="AL393" t="s">
        <v>1385</v>
      </c>
      <c r="AS393" t="s">
        <v>220</v>
      </c>
      <c r="AX393" s="6">
        <v>174.24</v>
      </c>
      <c r="AY393" s="6" t="s">
        <v>168</v>
      </c>
      <c r="AZ393" s="6" t="s">
        <v>168</v>
      </c>
      <c r="BA393" s="6"/>
      <c r="BB393" s="6" t="s">
        <v>168</v>
      </c>
      <c r="BC393" s="6"/>
    </row>
    <row r="394" spans="32:55">
      <c r="AF394">
        <f t="shared" si="36"/>
        <v>0</v>
      </c>
      <c r="AG394" t="str">
        <f t="shared" si="37"/>
        <v>KClO₃ (s)</v>
      </c>
      <c r="AH394" t="s">
        <v>1386</v>
      </c>
      <c r="AI394" t="s">
        <v>1387</v>
      </c>
      <c r="AJ394" t="s">
        <v>1387</v>
      </c>
      <c r="AL394" t="s">
        <v>1388</v>
      </c>
      <c r="AS394" t="s">
        <v>160</v>
      </c>
      <c r="AX394" s="6">
        <v>122.55</v>
      </c>
      <c r="AY394" s="6" t="s">
        <v>1389</v>
      </c>
      <c r="AZ394" s="6">
        <v>143.1</v>
      </c>
      <c r="BA394" s="6"/>
      <c r="BB394" s="6">
        <v>-296.3</v>
      </c>
    </row>
    <row r="395" spans="32:55">
      <c r="AF395">
        <f t="shared" si="36"/>
        <v>0</v>
      </c>
      <c r="AG395" t="str">
        <f t="shared" si="37"/>
        <v>KCl (s)</v>
      </c>
      <c r="AH395" t="s">
        <v>1390</v>
      </c>
      <c r="AI395" t="s">
        <v>1390</v>
      </c>
      <c r="AJ395" t="s">
        <v>1390</v>
      </c>
      <c r="AL395" t="s">
        <v>1391</v>
      </c>
      <c r="AS395" t="s">
        <v>160</v>
      </c>
      <c r="AX395" s="6">
        <v>74.55</v>
      </c>
      <c r="AY395" s="6" t="s">
        <v>1392</v>
      </c>
      <c r="AZ395" s="6">
        <v>82.6</v>
      </c>
      <c r="BA395" s="6"/>
      <c r="BB395" s="6">
        <v>-408.5</v>
      </c>
    </row>
    <row r="396" spans="32:55">
      <c r="AF396">
        <f t="shared" si="36"/>
        <v>0</v>
      </c>
      <c r="AG396" t="str">
        <f t="shared" si="37"/>
        <v>K₂CrO₄ (s)</v>
      </c>
      <c r="AH396" t="s">
        <v>1393</v>
      </c>
      <c r="AI396" t="s">
        <v>1394</v>
      </c>
      <c r="AJ396" t="s">
        <v>1394</v>
      </c>
      <c r="AL396" t="s">
        <v>1395</v>
      </c>
      <c r="AS396" t="s">
        <v>160</v>
      </c>
      <c r="AX396" s="6">
        <v>194.19</v>
      </c>
      <c r="AY396" s="6" t="s">
        <v>1396</v>
      </c>
      <c r="AZ396" s="6">
        <v>200.1</v>
      </c>
      <c r="BA396" s="6"/>
      <c r="BB396" s="6">
        <v>-1295.8</v>
      </c>
    </row>
    <row r="397" spans="32:55">
      <c r="AF397">
        <f t="shared" si="36"/>
        <v>0</v>
      </c>
      <c r="AG397" t="str">
        <f t="shared" si="37"/>
        <v>KCr(SO₄)₂∙12H₂O (s)</v>
      </c>
      <c r="AH397" t="s">
        <v>1397</v>
      </c>
      <c r="AI397" t="s">
        <v>1398</v>
      </c>
      <c r="AJ397" t="s">
        <v>1399</v>
      </c>
      <c r="AL397" t="s">
        <v>1400</v>
      </c>
      <c r="AS397" t="s">
        <v>160</v>
      </c>
      <c r="AX397" s="6">
        <v>499.39</v>
      </c>
      <c r="AY397" s="6" t="s">
        <v>1401</v>
      </c>
      <c r="AZ397" s="6">
        <v>707.9</v>
      </c>
      <c r="BA397" s="6"/>
      <c r="BB397" s="6">
        <v>-4870</v>
      </c>
    </row>
    <row r="398" spans="32:55">
      <c r="AF398">
        <f t="shared" si="36"/>
        <v>0</v>
      </c>
      <c r="AG398" t="str">
        <f t="shared" si="37"/>
        <v/>
      </c>
      <c r="AH398" t="s">
        <v>1402</v>
      </c>
      <c r="AI398" t="s">
        <v>1403</v>
      </c>
      <c r="AJ398" t="s">
        <v>1404</v>
      </c>
      <c r="AL398" t="s">
        <v>1405</v>
      </c>
      <c r="AS398" t="s">
        <v>220</v>
      </c>
      <c r="AX398" s="6">
        <v>479.3</v>
      </c>
      <c r="AY398" s="6" t="s">
        <v>168</v>
      </c>
      <c r="AZ398" s="6" t="s">
        <v>168</v>
      </c>
      <c r="BA398" s="6"/>
      <c r="BB398" s="6" t="s">
        <v>168</v>
      </c>
      <c r="BC398" s="6"/>
    </row>
    <row r="399" spans="32:55">
      <c r="AF399">
        <f t="shared" si="36"/>
        <v>0</v>
      </c>
      <c r="AG399" t="str">
        <f t="shared" si="37"/>
        <v>KCN (s)</v>
      </c>
      <c r="AH399" t="s">
        <v>1406</v>
      </c>
      <c r="AI399" t="s">
        <v>1406</v>
      </c>
      <c r="AJ399" t="s">
        <v>1406</v>
      </c>
      <c r="AL399" t="s">
        <v>1407</v>
      </c>
      <c r="AS399" t="s">
        <v>160</v>
      </c>
      <c r="AX399" s="6">
        <v>65.12</v>
      </c>
      <c r="AY399" s="6" t="s">
        <v>1408</v>
      </c>
      <c r="AZ399" s="6">
        <v>127.8</v>
      </c>
      <c r="BA399" s="6"/>
      <c r="BB399" s="6">
        <v>-102.2</v>
      </c>
    </row>
    <row r="400" spans="32:55">
      <c r="AF400">
        <f t="shared" si="36"/>
        <v>0</v>
      </c>
      <c r="AG400" t="str">
        <f t="shared" si="37"/>
        <v>KOCN (s)</v>
      </c>
      <c r="AH400" t="s">
        <v>1409</v>
      </c>
      <c r="AI400" t="s">
        <v>1409</v>
      </c>
      <c r="AJ400" t="s">
        <v>1409</v>
      </c>
      <c r="AL400" t="s">
        <v>1410</v>
      </c>
      <c r="AS400" t="s">
        <v>160</v>
      </c>
      <c r="AX400" s="6">
        <v>81.11</v>
      </c>
      <c r="AY400" s="6" t="s">
        <v>1411</v>
      </c>
      <c r="AZ400" s="6" t="s">
        <v>168</v>
      </c>
      <c r="BA400" s="6"/>
      <c r="BB400" s="6">
        <v>-374</v>
      </c>
    </row>
    <row r="401" spans="32:55">
      <c r="AF401">
        <f t="shared" si="36"/>
        <v>0</v>
      </c>
      <c r="AG401" t="str">
        <f t="shared" si="37"/>
        <v>K₂Cr₂O₇ (s)</v>
      </c>
      <c r="AH401" t="s">
        <v>1412</v>
      </c>
      <c r="AI401" t="s">
        <v>1413</v>
      </c>
      <c r="AJ401" t="s">
        <v>1413</v>
      </c>
      <c r="AL401" t="s">
        <v>1414</v>
      </c>
      <c r="AS401" t="s">
        <v>160</v>
      </c>
      <c r="AX401" s="6">
        <v>294.19</v>
      </c>
      <c r="AY401" s="6" t="s">
        <v>1415</v>
      </c>
      <c r="AZ401" s="6">
        <v>291.2</v>
      </c>
      <c r="BA401" s="6"/>
      <c r="BB401" s="6">
        <v>-1882.7</v>
      </c>
    </row>
    <row r="402" spans="32:55">
      <c r="AF402">
        <f t="shared" si="36"/>
        <v>0</v>
      </c>
      <c r="AG402" t="str">
        <f t="shared" si="37"/>
        <v>KH₂PO₄ (s)</v>
      </c>
      <c r="AH402" t="s">
        <v>1416</v>
      </c>
      <c r="AI402" t="s">
        <v>1417</v>
      </c>
      <c r="AJ402" t="s">
        <v>1417</v>
      </c>
      <c r="AL402" t="s">
        <v>1418</v>
      </c>
      <c r="AS402" t="s">
        <v>160</v>
      </c>
      <c r="AX402" s="6">
        <v>136.09</v>
      </c>
      <c r="AY402" s="6" t="s">
        <v>1419</v>
      </c>
      <c r="AZ402" s="6">
        <v>144</v>
      </c>
      <c r="BA402" s="6"/>
      <c r="BB402" s="6">
        <v>-1419</v>
      </c>
    </row>
    <row r="403" spans="32:55">
      <c r="AF403">
        <f t="shared" si="36"/>
        <v>0</v>
      </c>
      <c r="AG403" t="str">
        <f t="shared" si="37"/>
        <v>KF (s)</v>
      </c>
      <c r="AH403" t="s">
        <v>1420</v>
      </c>
      <c r="AI403" t="s">
        <v>1420</v>
      </c>
      <c r="AJ403" t="s">
        <v>1420</v>
      </c>
      <c r="AL403" t="s">
        <v>1421</v>
      </c>
      <c r="AS403" t="s">
        <v>160</v>
      </c>
      <c r="AX403" s="6">
        <v>58.1</v>
      </c>
      <c r="AY403" s="6" t="s">
        <v>1422</v>
      </c>
      <c r="AZ403" s="6">
        <v>66.599999999999994</v>
      </c>
      <c r="BA403" s="6"/>
      <c r="BB403" s="6">
        <v>-537.79999999999995</v>
      </c>
    </row>
    <row r="404" spans="32:55">
      <c r="AF404">
        <f t="shared" si="36"/>
        <v>0</v>
      </c>
      <c r="AG404" t="str">
        <f t="shared" si="37"/>
        <v>K₄Fe(CN)₆∙3H₂O (s)</v>
      </c>
      <c r="AH404" t="s">
        <v>1423</v>
      </c>
      <c r="AI404" t="s">
        <v>1424</v>
      </c>
      <c r="AJ404" t="s">
        <v>1425</v>
      </c>
      <c r="AK404" t="s">
        <v>1426</v>
      </c>
      <c r="AL404" t="s">
        <v>1427</v>
      </c>
      <c r="AS404" t="s">
        <v>160</v>
      </c>
      <c r="AX404" s="6">
        <v>422.39</v>
      </c>
      <c r="AY404" s="6" t="s">
        <v>1428</v>
      </c>
      <c r="AZ404" s="6">
        <v>593.70000000000005</v>
      </c>
      <c r="BA404" s="6"/>
      <c r="BB404" s="6">
        <v>-1168.8</v>
      </c>
    </row>
    <row r="405" spans="32:55">
      <c r="AF405">
        <f t="shared" si="36"/>
        <v>0</v>
      </c>
      <c r="AG405" t="str">
        <f t="shared" si="37"/>
        <v>K₃Fe(CN)₆ (s)</v>
      </c>
      <c r="AH405" t="s">
        <v>1429</v>
      </c>
      <c r="AI405" t="s">
        <v>1430</v>
      </c>
      <c r="AJ405" t="s">
        <v>1431</v>
      </c>
      <c r="AK405" t="s">
        <v>1432</v>
      </c>
      <c r="AL405" t="s">
        <v>1433</v>
      </c>
      <c r="AS405" t="s">
        <v>160</v>
      </c>
      <c r="AX405" s="6">
        <v>329.24</v>
      </c>
      <c r="AY405" s="6" t="s">
        <v>1434</v>
      </c>
      <c r="AZ405" s="6">
        <v>420</v>
      </c>
      <c r="BA405" s="6"/>
      <c r="BB405" s="6">
        <v>-173</v>
      </c>
    </row>
    <row r="406" spans="32:55">
      <c r="AF406">
        <f t="shared" si="36"/>
        <v>0</v>
      </c>
      <c r="AG406" t="str">
        <f t="shared" si="37"/>
        <v>KH (s)</v>
      </c>
      <c r="AH406" t="s">
        <v>1435</v>
      </c>
      <c r="AI406" t="s">
        <v>1435</v>
      </c>
      <c r="AJ406" t="s">
        <v>1435</v>
      </c>
      <c r="AL406" t="s">
        <v>1436</v>
      </c>
      <c r="AS406" t="s">
        <v>160</v>
      </c>
      <c r="AX406" s="6">
        <v>40.11</v>
      </c>
      <c r="AY406" s="6" t="s">
        <v>1437</v>
      </c>
      <c r="AZ406" s="6">
        <v>50.2</v>
      </c>
      <c r="BA406" s="6"/>
      <c r="BB406" s="6">
        <v>-34.1</v>
      </c>
    </row>
    <row r="407" spans="32:55">
      <c r="AF407">
        <f t="shared" si="36"/>
        <v>0</v>
      </c>
      <c r="AG407" t="str">
        <f t="shared" si="37"/>
        <v>KHCO₃ (s)</v>
      </c>
      <c r="AH407" t="s">
        <v>1438</v>
      </c>
      <c r="AI407" t="s">
        <v>1439</v>
      </c>
      <c r="AJ407" t="s">
        <v>1439</v>
      </c>
      <c r="AL407" t="s">
        <v>1440</v>
      </c>
      <c r="AS407" t="s">
        <v>160</v>
      </c>
      <c r="AX407" s="6">
        <v>100.16</v>
      </c>
      <c r="AY407" s="6" t="s">
        <v>1441</v>
      </c>
      <c r="AZ407" s="6">
        <v>111</v>
      </c>
      <c r="BA407" s="6"/>
      <c r="BB407" s="6">
        <v>-860.6</v>
      </c>
    </row>
    <row r="408" spans="32:55">
      <c r="AF408">
        <f t="shared" si="36"/>
        <v>0</v>
      </c>
      <c r="AG408" t="str">
        <f t="shared" si="37"/>
        <v>KHF₂ (s)</v>
      </c>
      <c r="AH408" t="s">
        <v>1442</v>
      </c>
      <c r="AI408" t="s">
        <v>1443</v>
      </c>
      <c r="AJ408" t="s">
        <v>1443</v>
      </c>
      <c r="AL408" t="s">
        <v>1444</v>
      </c>
      <c r="AS408" t="s">
        <v>160</v>
      </c>
      <c r="AX408" s="6">
        <v>78.099999999999994</v>
      </c>
      <c r="AY408" s="6" t="s">
        <v>1445</v>
      </c>
      <c r="AZ408" s="6">
        <v>104.3</v>
      </c>
      <c r="BA408" s="6"/>
      <c r="BB408" s="6">
        <v>-859.7</v>
      </c>
    </row>
    <row r="409" spans="32:55">
      <c r="AF409">
        <f t="shared" si="36"/>
        <v>0</v>
      </c>
      <c r="AG409" t="str">
        <f t="shared" si="37"/>
        <v/>
      </c>
      <c r="AH409" t="s">
        <v>1446</v>
      </c>
      <c r="AI409" t="s">
        <v>1447</v>
      </c>
      <c r="AJ409" t="s">
        <v>1447</v>
      </c>
      <c r="AL409" t="s">
        <v>1448</v>
      </c>
      <c r="AS409" t="s">
        <v>220</v>
      </c>
      <c r="AX409" s="6">
        <v>204.22</v>
      </c>
      <c r="AY409" s="6" t="s">
        <v>168</v>
      </c>
      <c r="AZ409" s="6" t="s">
        <v>168</v>
      </c>
      <c r="BA409" s="6"/>
      <c r="BB409" s="6" t="s">
        <v>168</v>
      </c>
      <c r="BC409" s="6"/>
    </row>
    <row r="410" spans="32:55">
      <c r="AF410">
        <f t="shared" si="36"/>
        <v>0</v>
      </c>
      <c r="AG410" t="str">
        <f t="shared" si="37"/>
        <v>KOH (s)</v>
      </c>
      <c r="AH410" t="s">
        <v>1449</v>
      </c>
      <c r="AI410" t="s">
        <v>1449</v>
      </c>
      <c r="AJ410" t="s">
        <v>1449</v>
      </c>
      <c r="AL410" t="s">
        <v>1450</v>
      </c>
      <c r="AS410" t="s">
        <v>160</v>
      </c>
      <c r="AX410" s="6">
        <v>56.11</v>
      </c>
      <c r="AY410" s="6" t="s">
        <v>1451</v>
      </c>
      <c r="AZ410" s="6">
        <v>79.5</v>
      </c>
      <c r="BA410" s="6"/>
      <c r="BB410" s="6">
        <v>-380</v>
      </c>
    </row>
    <row r="411" spans="32:55">
      <c r="AF411">
        <f t="shared" si="36"/>
        <v>0</v>
      </c>
      <c r="AG411" t="str">
        <f t="shared" si="37"/>
        <v>KIO₃ (s)</v>
      </c>
      <c r="AH411" t="s">
        <v>1452</v>
      </c>
      <c r="AI411" t="s">
        <v>1453</v>
      </c>
      <c r="AJ411" t="s">
        <v>1453</v>
      </c>
      <c r="AL411" t="s">
        <v>1454</v>
      </c>
      <c r="AS411" t="s">
        <v>160</v>
      </c>
      <c r="AX411" s="6">
        <v>214</v>
      </c>
      <c r="AY411" s="6" t="s">
        <v>1455</v>
      </c>
      <c r="AZ411" s="6">
        <v>151.5</v>
      </c>
      <c r="BA411" s="6"/>
      <c r="BB411" s="6">
        <v>-423.5</v>
      </c>
    </row>
    <row r="412" spans="32:55">
      <c r="AF412">
        <f t="shared" si="36"/>
        <v>0</v>
      </c>
      <c r="AG412" t="str">
        <f t="shared" si="37"/>
        <v>KI (s)</v>
      </c>
      <c r="AH412" t="s">
        <v>1456</v>
      </c>
      <c r="AI412" t="s">
        <v>1456</v>
      </c>
      <c r="AJ412" t="s">
        <v>1456</v>
      </c>
      <c r="AL412" t="s">
        <v>1457</v>
      </c>
      <c r="AS412" t="s">
        <v>160</v>
      </c>
      <c r="AX412" s="6">
        <v>166</v>
      </c>
      <c r="AY412" s="6" t="s">
        <v>1458</v>
      </c>
      <c r="AZ412" s="6">
        <v>106.3</v>
      </c>
      <c r="BA412" s="6"/>
      <c r="BB412" s="6">
        <v>-3249</v>
      </c>
    </row>
    <row r="413" spans="32:55">
      <c r="AF413">
        <f t="shared" si="36"/>
        <v>0</v>
      </c>
      <c r="AG413" t="str">
        <f t="shared" si="37"/>
        <v/>
      </c>
      <c r="AH413" t="s">
        <v>1459</v>
      </c>
      <c r="AI413" t="s">
        <v>1460</v>
      </c>
      <c r="AJ413" t="s">
        <v>1460</v>
      </c>
      <c r="AL413" t="s">
        <v>1461</v>
      </c>
      <c r="AS413" t="s">
        <v>220</v>
      </c>
      <c r="AX413" s="6">
        <v>197.13</v>
      </c>
      <c r="AY413" s="6" t="s">
        <v>168</v>
      </c>
      <c r="AZ413" s="6" t="s">
        <v>168</v>
      </c>
      <c r="BA413" s="6"/>
      <c r="BB413" s="6" t="s">
        <v>168</v>
      </c>
      <c r="BC413" s="6"/>
    </row>
    <row r="414" spans="32:55">
      <c r="AF414">
        <f t="shared" si="36"/>
        <v>0</v>
      </c>
      <c r="AG414" t="str">
        <f t="shared" si="37"/>
        <v/>
      </c>
      <c r="AH414" t="s">
        <v>1462</v>
      </c>
      <c r="AI414" t="s">
        <v>1463</v>
      </c>
      <c r="AJ414" t="s">
        <v>1464</v>
      </c>
      <c r="AL414" t="s">
        <v>1465</v>
      </c>
      <c r="AS414" t="s">
        <v>220</v>
      </c>
      <c r="AX414" s="6">
        <v>282.22000000000003</v>
      </c>
      <c r="AY414" s="6" t="s">
        <v>168</v>
      </c>
      <c r="AZ414" s="6" t="s">
        <v>168</v>
      </c>
      <c r="BA414" s="6"/>
      <c r="BB414" s="6" t="s">
        <v>168</v>
      </c>
      <c r="BC414" s="6"/>
    </row>
    <row r="415" spans="32:55">
      <c r="AF415">
        <f t="shared" si="36"/>
        <v>0</v>
      </c>
      <c r="AG415" t="str">
        <f t="shared" si="37"/>
        <v>KNO₃ (s)</v>
      </c>
      <c r="AH415" t="s">
        <v>1466</v>
      </c>
      <c r="AI415" t="s">
        <v>1467</v>
      </c>
      <c r="AJ415" t="s">
        <v>1467</v>
      </c>
      <c r="AK415" t="s">
        <v>1468</v>
      </c>
      <c r="AL415" t="s">
        <v>1469</v>
      </c>
      <c r="AS415" t="s">
        <v>160</v>
      </c>
      <c r="AX415" s="6">
        <v>101.1</v>
      </c>
      <c r="AY415" s="6" t="s">
        <v>1470</v>
      </c>
      <c r="AZ415" s="6">
        <v>133.1</v>
      </c>
      <c r="BA415" s="6"/>
      <c r="BB415" s="6">
        <v>-394.9</v>
      </c>
    </row>
    <row r="416" spans="32:55">
      <c r="AF416">
        <f t="shared" si="36"/>
        <v>0</v>
      </c>
      <c r="AG416" t="str">
        <f t="shared" si="37"/>
        <v>KNO₂ (s)</v>
      </c>
      <c r="AH416" t="s">
        <v>1471</v>
      </c>
      <c r="AI416" t="s">
        <v>1472</v>
      </c>
      <c r="AJ416" t="s">
        <v>1472</v>
      </c>
      <c r="AL416" t="s">
        <v>1473</v>
      </c>
      <c r="AS416" t="s">
        <v>160</v>
      </c>
      <c r="AX416" s="6">
        <v>85.1</v>
      </c>
      <c r="AY416" s="6" t="s">
        <v>1474</v>
      </c>
      <c r="AZ416" s="6">
        <v>152.19999999999999</v>
      </c>
      <c r="BA416" s="6"/>
      <c r="BB416" s="6">
        <v>-306.60000000000002</v>
      </c>
    </row>
    <row r="417" spans="32:55">
      <c r="AF417">
        <f t="shared" si="36"/>
        <v>0</v>
      </c>
      <c r="AG417" t="str">
        <f t="shared" si="37"/>
        <v>K₂O (s)</v>
      </c>
      <c r="AH417" t="s">
        <v>1475</v>
      </c>
      <c r="AI417" t="s">
        <v>1476</v>
      </c>
      <c r="AJ417" t="s">
        <v>1476</v>
      </c>
      <c r="AL417" t="s">
        <v>1477</v>
      </c>
      <c r="AS417" t="s">
        <v>160</v>
      </c>
      <c r="AX417" s="6">
        <v>94.2</v>
      </c>
      <c r="AY417" s="6" t="s">
        <v>1478</v>
      </c>
      <c r="AZ417" s="6">
        <v>94.1</v>
      </c>
      <c r="BA417" s="6"/>
      <c r="BB417" s="6">
        <v>-322</v>
      </c>
    </row>
    <row r="418" spans="32:55">
      <c r="AF418">
        <f t="shared" si="36"/>
        <v>0</v>
      </c>
      <c r="AG418" t="str">
        <f t="shared" si="37"/>
        <v>KClO₄ (s)</v>
      </c>
      <c r="AH418" t="s">
        <v>1479</v>
      </c>
      <c r="AI418" t="s">
        <v>1480</v>
      </c>
      <c r="AJ418" t="s">
        <v>1480</v>
      </c>
      <c r="AL418" t="s">
        <v>1481</v>
      </c>
      <c r="AS418" t="s">
        <v>160</v>
      </c>
      <c r="AX418" s="6">
        <v>138.55000000000001</v>
      </c>
      <c r="AY418" s="6" t="s">
        <v>1482</v>
      </c>
      <c r="AZ418" s="6">
        <v>151</v>
      </c>
      <c r="BA418" s="6"/>
      <c r="BB418" s="6">
        <v>-303.10000000000002</v>
      </c>
    </row>
    <row r="419" spans="32:55">
      <c r="AF419">
        <f t="shared" si="36"/>
        <v>0</v>
      </c>
      <c r="AG419" t="str">
        <f t="shared" si="37"/>
        <v>KIO₄ (s)</v>
      </c>
      <c r="AH419" t="s">
        <v>1483</v>
      </c>
      <c r="AI419" t="s">
        <v>1484</v>
      </c>
      <c r="AJ419" t="s">
        <v>1484</v>
      </c>
      <c r="AL419" t="s">
        <v>1485</v>
      </c>
      <c r="AS419" t="s">
        <v>160</v>
      </c>
      <c r="AX419" s="6">
        <v>230</v>
      </c>
      <c r="AY419" s="6" t="s">
        <v>1486</v>
      </c>
      <c r="AZ419" s="6">
        <v>175.7</v>
      </c>
      <c r="BA419" s="6"/>
      <c r="BB419" s="6">
        <v>-361</v>
      </c>
    </row>
    <row r="420" spans="32:55">
      <c r="AF420">
        <f t="shared" si="36"/>
        <v>0</v>
      </c>
      <c r="AG420" t="str">
        <f t="shared" si="37"/>
        <v>KMnO₄ (s)</v>
      </c>
      <c r="AH420" t="s">
        <v>1487</v>
      </c>
      <c r="AI420" t="s">
        <v>1488</v>
      </c>
      <c r="AJ420" t="s">
        <v>1488</v>
      </c>
      <c r="AL420" t="s">
        <v>1489</v>
      </c>
      <c r="AS420" t="s">
        <v>160</v>
      </c>
      <c r="AX420" s="6">
        <v>158.03</v>
      </c>
      <c r="AY420" s="6" t="s">
        <v>1490</v>
      </c>
      <c r="AZ420" s="6">
        <v>171.7</v>
      </c>
      <c r="BA420" s="6"/>
      <c r="BB420" s="6">
        <v>-737.6</v>
      </c>
    </row>
    <row r="421" spans="32:55">
      <c r="AF421">
        <f t="shared" si="36"/>
        <v>0</v>
      </c>
      <c r="AG421" t="str">
        <f t="shared" si="37"/>
        <v>K₂O₂ (s)</v>
      </c>
      <c r="AH421" t="s">
        <v>1491</v>
      </c>
      <c r="AI421" t="s">
        <v>1492</v>
      </c>
      <c r="AJ421" t="s">
        <v>1492</v>
      </c>
      <c r="AL421" t="s">
        <v>1493</v>
      </c>
      <c r="AS421" t="s">
        <v>160</v>
      </c>
      <c r="AX421" s="6">
        <v>110.2</v>
      </c>
      <c r="AY421" s="6" t="s">
        <v>1494</v>
      </c>
      <c r="AZ421" s="6">
        <v>113</v>
      </c>
      <c r="BA421" s="6"/>
      <c r="BB421" s="6">
        <v>-429.7</v>
      </c>
    </row>
    <row r="422" spans="32:55">
      <c r="AF422">
        <f t="shared" si="36"/>
        <v>0</v>
      </c>
      <c r="AG422" t="str">
        <f t="shared" si="37"/>
        <v>K₂O₃SOOSO₃ (s)</v>
      </c>
      <c r="AH422" t="s">
        <v>1495</v>
      </c>
      <c r="AI422" t="s">
        <v>1496</v>
      </c>
      <c r="AJ422" t="s">
        <v>1496</v>
      </c>
      <c r="AL422" t="s">
        <v>1497</v>
      </c>
      <c r="AS422" t="s">
        <v>160</v>
      </c>
      <c r="AX422" s="6">
        <v>270.33</v>
      </c>
      <c r="AY422" s="6" t="s">
        <v>1498</v>
      </c>
      <c r="AZ422" s="6" t="s">
        <v>168</v>
      </c>
      <c r="BA422" s="6"/>
      <c r="BB422" s="6">
        <v>-1693</v>
      </c>
    </row>
    <row r="423" spans="32:55">
      <c r="AF423">
        <f t="shared" si="36"/>
        <v>0</v>
      </c>
      <c r="AG423" t="str">
        <f t="shared" si="37"/>
        <v>K₂S₂O₇ (s)</v>
      </c>
      <c r="AH423" t="s">
        <v>1499</v>
      </c>
      <c r="AI423" t="s">
        <v>1500</v>
      </c>
      <c r="AJ423" t="s">
        <v>1500</v>
      </c>
      <c r="AL423" t="s">
        <v>1501</v>
      </c>
      <c r="AS423" t="s">
        <v>160</v>
      </c>
      <c r="AX423" s="6">
        <v>254.32</v>
      </c>
      <c r="AY423" s="6" t="s">
        <v>1502</v>
      </c>
      <c r="AZ423" s="6">
        <v>225</v>
      </c>
      <c r="BA423" s="6"/>
      <c r="BB423" s="6">
        <v>-1751.6</v>
      </c>
    </row>
    <row r="424" spans="32:55">
      <c r="AF424">
        <f t="shared" si="36"/>
        <v>0</v>
      </c>
      <c r="AG424" t="str">
        <f t="shared" si="37"/>
        <v>KO₂ (s)</v>
      </c>
      <c r="AH424" t="s">
        <v>1503</v>
      </c>
      <c r="AI424" t="s">
        <v>1504</v>
      </c>
      <c r="AJ424" t="s">
        <v>1504</v>
      </c>
      <c r="AL424" t="s">
        <v>1505</v>
      </c>
      <c r="AS424" t="s">
        <v>160</v>
      </c>
      <c r="AX424" s="6">
        <v>71.099999999999994</v>
      </c>
      <c r="AY424" s="6" t="s">
        <v>1506</v>
      </c>
      <c r="AZ424" s="6">
        <v>116.7</v>
      </c>
      <c r="BA424" s="6"/>
      <c r="BB424" s="6">
        <v>-239.4</v>
      </c>
    </row>
    <row r="425" spans="32:55">
      <c r="AF425">
        <f t="shared" si="36"/>
        <v>0</v>
      </c>
      <c r="AG425" t="str">
        <f t="shared" si="37"/>
        <v>K₂SO₄ (s)</v>
      </c>
      <c r="AH425" t="s">
        <v>1507</v>
      </c>
      <c r="AI425" t="s">
        <v>1508</v>
      </c>
      <c r="AJ425" t="s">
        <v>1508</v>
      </c>
      <c r="AL425" t="s">
        <v>1509</v>
      </c>
      <c r="AS425" t="s">
        <v>160</v>
      </c>
      <c r="AX425" s="6">
        <v>174.26</v>
      </c>
      <c r="AY425" s="6" t="s">
        <v>1510</v>
      </c>
      <c r="AZ425" s="6">
        <v>175.6</v>
      </c>
      <c r="BA425" s="6"/>
      <c r="BB425" s="6">
        <v>-1321.4</v>
      </c>
    </row>
    <row r="426" spans="32:55">
      <c r="AF426">
        <f t="shared" si="36"/>
        <v>0</v>
      </c>
      <c r="AG426" t="str">
        <f t="shared" si="37"/>
        <v>K₂S (s)</v>
      </c>
      <c r="AH426" t="s">
        <v>1511</v>
      </c>
      <c r="AI426" t="s">
        <v>1512</v>
      </c>
      <c r="AJ426" t="s">
        <v>1512</v>
      </c>
      <c r="AL426" t="s">
        <v>1513</v>
      </c>
      <c r="AS426" t="s">
        <v>160</v>
      </c>
      <c r="AX426" s="6">
        <v>110.26</v>
      </c>
      <c r="AY426" s="6" t="s">
        <v>1514</v>
      </c>
      <c r="AZ426" s="6">
        <v>111</v>
      </c>
      <c r="BA426" s="6"/>
      <c r="BB426" s="6">
        <v>-404</v>
      </c>
    </row>
    <row r="427" spans="32:55">
      <c r="AF427">
        <f t="shared" si="36"/>
        <v>0</v>
      </c>
      <c r="AG427" t="str">
        <f t="shared" si="37"/>
        <v>KSCN (s)</v>
      </c>
      <c r="AH427" t="s">
        <v>1515</v>
      </c>
      <c r="AI427" t="s">
        <v>1515</v>
      </c>
      <c r="AJ427" t="s">
        <v>1515</v>
      </c>
      <c r="AL427" t="s">
        <v>1516</v>
      </c>
      <c r="AS427" t="s">
        <v>160</v>
      </c>
      <c r="AX427" s="6">
        <v>97.18</v>
      </c>
      <c r="AY427" s="6" t="s">
        <v>1517</v>
      </c>
      <c r="AZ427" s="6">
        <v>124.3</v>
      </c>
      <c r="BA427" s="6"/>
      <c r="BB427" s="6">
        <v>-178.3</v>
      </c>
    </row>
    <row r="428" spans="32:55">
      <c r="AF428">
        <f t="shared" si="36"/>
        <v>0</v>
      </c>
      <c r="AG428" t="str">
        <f t="shared" si="37"/>
        <v>Cu (s)</v>
      </c>
      <c r="AH428" t="s">
        <v>1518</v>
      </c>
      <c r="AI428" t="s">
        <v>1518</v>
      </c>
      <c r="AJ428" t="s">
        <v>1518</v>
      </c>
      <c r="AL428" t="s">
        <v>1519</v>
      </c>
      <c r="AS428" t="s">
        <v>160</v>
      </c>
      <c r="AX428" s="6">
        <v>63.55</v>
      </c>
      <c r="AY428" s="6" t="s">
        <v>161</v>
      </c>
      <c r="AZ428" s="6">
        <v>33.200000000000003</v>
      </c>
      <c r="BA428" s="6"/>
      <c r="BB428" s="6">
        <v>0</v>
      </c>
    </row>
    <row r="429" spans="32:55">
      <c r="AF429">
        <f t="shared" si="36"/>
        <v>0</v>
      </c>
      <c r="AG429" t="str">
        <f t="shared" si="37"/>
        <v>Cu⁺ (aq)</v>
      </c>
      <c r="AH429" t="s">
        <v>1520</v>
      </c>
      <c r="AI429" t="s">
        <v>1521</v>
      </c>
      <c r="AJ429" t="s">
        <v>1521</v>
      </c>
      <c r="AL429" t="s">
        <v>1522</v>
      </c>
      <c r="AS429" t="s">
        <v>48</v>
      </c>
      <c r="AX429" s="6">
        <v>63.55</v>
      </c>
      <c r="AY429" s="6" t="s">
        <v>1523</v>
      </c>
      <c r="AZ429" s="6">
        <v>40.6</v>
      </c>
      <c r="BA429" s="6"/>
      <c r="BB429" s="6">
        <v>50.3</v>
      </c>
    </row>
    <row r="430" spans="32:55">
      <c r="AF430">
        <f t="shared" si="36"/>
        <v>0</v>
      </c>
      <c r="AG430" t="str">
        <f t="shared" si="37"/>
        <v>Cu²⁺ (aq)</v>
      </c>
      <c r="AH430" t="s">
        <v>1524</v>
      </c>
      <c r="AI430" t="s">
        <v>1525</v>
      </c>
      <c r="AJ430" t="s">
        <v>1525</v>
      </c>
      <c r="AL430" t="s">
        <v>1526</v>
      </c>
      <c r="AS430" t="s">
        <v>48</v>
      </c>
      <c r="AX430" s="6">
        <v>63.55</v>
      </c>
      <c r="AY430" s="6" t="s">
        <v>1527</v>
      </c>
      <c r="AZ430" s="6">
        <v>-98</v>
      </c>
      <c r="BA430" s="6"/>
      <c r="BB430" s="6">
        <v>66.7</v>
      </c>
    </row>
    <row r="431" spans="32:55">
      <c r="AF431">
        <f t="shared" si="36"/>
        <v>0</v>
      </c>
      <c r="AG431" t="str">
        <f t="shared" si="37"/>
        <v>(CH₃COO)₂Cu∙H₂O (s)</v>
      </c>
      <c r="AH431" t="s">
        <v>1528</v>
      </c>
      <c r="AI431" t="s">
        <v>1529</v>
      </c>
      <c r="AJ431" t="s">
        <v>1530</v>
      </c>
      <c r="AL431" t="s">
        <v>1531</v>
      </c>
      <c r="AS431" t="s">
        <v>160</v>
      </c>
      <c r="AX431" s="6">
        <v>199.65</v>
      </c>
      <c r="AY431" s="6" t="s">
        <v>1532</v>
      </c>
      <c r="AZ431" s="6" t="s">
        <v>168</v>
      </c>
      <c r="BA431" s="6"/>
      <c r="BB431" s="6"/>
      <c r="BC431" s="6"/>
    </row>
    <row r="432" spans="32:55">
      <c r="AF432">
        <f t="shared" si="36"/>
        <v>0</v>
      </c>
      <c r="AG432" t="str">
        <f t="shared" si="37"/>
        <v>Cu₂(OH)₂CO₃ (s)</v>
      </c>
      <c r="AH432" t="s">
        <v>1533</v>
      </c>
      <c r="AI432" t="s">
        <v>1534</v>
      </c>
      <c r="AJ432" t="s">
        <v>1535</v>
      </c>
      <c r="AK432" t="s">
        <v>1536</v>
      </c>
      <c r="AL432" t="s">
        <v>1537</v>
      </c>
      <c r="AS432" t="s">
        <v>160</v>
      </c>
      <c r="AX432" s="6">
        <v>221.12</v>
      </c>
      <c r="AY432" s="6" t="s">
        <v>1538</v>
      </c>
      <c r="AZ432" s="6">
        <v>186</v>
      </c>
      <c r="BA432" s="6"/>
      <c r="BB432" s="6">
        <v>-901</v>
      </c>
    </row>
    <row r="433" spans="32:55">
      <c r="AF433">
        <f t="shared" si="36"/>
        <v>0</v>
      </c>
      <c r="AG433" t="str">
        <f t="shared" si="37"/>
        <v>Cu₃(OH)₂(CO₃)₂ (s)</v>
      </c>
      <c r="AH433" t="s">
        <v>1539</v>
      </c>
      <c r="AI433" t="s">
        <v>1540</v>
      </c>
      <c r="AJ433" t="s">
        <v>1541</v>
      </c>
      <c r="AK433" t="s">
        <v>1542</v>
      </c>
      <c r="AL433" t="s">
        <v>1543</v>
      </c>
      <c r="AS433" t="s">
        <v>160</v>
      </c>
      <c r="AX433" s="6">
        <v>344.65</v>
      </c>
      <c r="AY433" s="6" t="s">
        <v>1544</v>
      </c>
      <c r="AZ433" s="6" t="s">
        <v>168</v>
      </c>
      <c r="BA433" s="6"/>
      <c r="BB433" s="6">
        <v>-1437</v>
      </c>
    </row>
    <row r="434" spans="32:55">
      <c r="AF434">
        <f t="shared" si="36"/>
        <v>0</v>
      </c>
      <c r="AG434" t="str">
        <f t="shared" si="37"/>
        <v>CuCl (s)</v>
      </c>
      <c r="AH434" t="s">
        <v>1545</v>
      </c>
      <c r="AI434" t="s">
        <v>1545</v>
      </c>
      <c r="AJ434" t="s">
        <v>1545</v>
      </c>
      <c r="AL434" t="s">
        <v>1546</v>
      </c>
      <c r="AS434" t="s">
        <v>160</v>
      </c>
      <c r="AX434" s="6">
        <v>99</v>
      </c>
      <c r="AY434" s="6" t="s">
        <v>1547</v>
      </c>
      <c r="AZ434" s="6">
        <v>87.6</v>
      </c>
      <c r="BA434" s="6"/>
      <c r="BB434" s="6">
        <v>-119.8</v>
      </c>
    </row>
    <row r="435" spans="32:55">
      <c r="AF435">
        <f t="shared" si="36"/>
        <v>0</v>
      </c>
      <c r="AG435" t="str">
        <f t="shared" si="37"/>
        <v>CuCl₂ (s)</v>
      </c>
      <c r="AH435" t="s">
        <v>1548</v>
      </c>
      <c r="AI435" t="s">
        <v>1549</v>
      </c>
      <c r="AJ435" t="s">
        <v>1549</v>
      </c>
      <c r="AK435" t="s">
        <v>1550</v>
      </c>
      <c r="AL435" t="s">
        <v>1551</v>
      </c>
      <c r="AS435" t="s">
        <v>160</v>
      </c>
      <c r="AX435" s="6">
        <v>134.44999999999999</v>
      </c>
      <c r="AY435" s="6" t="s">
        <v>1552</v>
      </c>
      <c r="AZ435" s="6">
        <v>108.2</v>
      </c>
      <c r="BA435" s="6"/>
      <c r="BB435" s="6">
        <v>-173.9</v>
      </c>
    </row>
    <row r="436" spans="32:55">
      <c r="AF436">
        <f t="shared" si="36"/>
        <v>0</v>
      </c>
      <c r="AG436" t="str">
        <f t="shared" si="37"/>
        <v>CuCl₂∙2H₂O (s)</v>
      </c>
      <c r="AH436" t="s">
        <v>1553</v>
      </c>
      <c r="AI436" t="s">
        <v>1554</v>
      </c>
      <c r="AJ436" t="s">
        <v>1555</v>
      </c>
      <c r="AL436" t="s">
        <v>1556</v>
      </c>
      <c r="AS436" t="s">
        <v>160</v>
      </c>
      <c r="AX436" s="6">
        <v>170.48</v>
      </c>
      <c r="AY436" s="6" t="s">
        <v>1557</v>
      </c>
      <c r="AZ436" s="6">
        <v>195.7</v>
      </c>
      <c r="BA436" s="6"/>
      <c r="BB436" s="6">
        <v>-661.2</v>
      </c>
    </row>
    <row r="437" spans="32:55">
      <c r="AF437">
        <f t="shared" si="36"/>
        <v>0</v>
      </c>
      <c r="AG437" t="str">
        <f t="shared" si="37"/>
        <v>Cu(OH)₂ (s)</v>
      </c>
      <c r="AH437" t="s">
        <v>1558</v>
      </c>
      <c r="AI437" t="s">
        <v>1559</v>
      </c>
      <c r="AJ437" t="s">
        <v>1560</v>
      </c>
      <c r="AL437" t="s">
        <v>1561</v>
      </c>
      <c r="AS437" t="s">
        <v>160</v>
      </c>
      <c r="AX437" s="6">
        <v>97.56</v>
      </c>
      <c r="AY437" s="6" t="s">
        <v>1562</v>
      </c>
      <c r="AZ437" s="6">
        <v>87.2</v>
      </c>
      <c r="BA437" s="6"/>
      <c r="BB437" s="6">
        <v>-359.5</v>
      </c>
    </row>
    <row r="438" spans="32:55">
      <c r="AF438">
        <f t="shared" si="36"/>
        <v>0</v>
      </c>
      <c r="AG438" t="str">
        <f t="shared" si="37"/>
        <v>CuI (s)</v>
      </c>
      <c r="AH438" t="s">
        <v>1563</v>
      </c>
      <c r="AI438" t="s">
        <v>1563</v>
      </c>
      <c r="AJ438" t="s">
        <v>1563</v>
      </c>
      <c r="AL438" t="s">
        <v>1564</v>
      </c>
      <c r="AS438" t="s">
        <v>160</v>
      </c>
      <c r="AX438" s="6">
        <v>190.45</v>
      </c>
      <c r="AY438" s="6" t="s">
        <v>1565</v>
      </c>
      <c r="AZ438" s="6">
        <v>96.7</v>
      </c>
      <c r="BA438" s="6"/>
      <c r="BB438" s="6">
        <v>-69.5</v>
      </c>
    </row>
    <row r="439" spans="32:55">
      <c r="AF439">
        <f t="shared" si="36"/>
        <v>0</v>
      </c>
      <c r="AG439" t="str">
        <f t="shared" si="37"/>
        <v>Cu(NO₃)₂∙3H₂O (s)</v>
      </c>
      <c r="AH439" t="s">
        <v>1566</v>
      </c>
      <c r="AI439" t="s">
        <v>1567</v>
      </c>
      <c r="AJ439" t="s">
        <v>1568</v>
      </c>
      <c r="AL439" t="s">
        <v>1569</v>
      </c>
      <c r="AS439" t="s">
        <v>160</v>
      </c>
      <c r="AX439" s="6">
        <v>241.6</v>
      </c>
      <c r="AY439" s="6" t="s">
        <v>1570</v>
      </c>
      <c r="AZ439" s="6" t="s">
        <v>168</v>
      </c>
      <c r="BA439" s="6"/>
      <c r="BB439" s="6"/>
      <c r="BC439" s="6"/>
    </row>
    <row r="440" spans="32:55">
      <c r="AF440">
        <f t="shared" si="36"/>
        <v>0</v>
      </c>
      <c r="AG440" t="str">
        <f t="shared" si="37"/>
        <v>Cu₂O (s)</v>
      </c>
      <c r="AH440" t="s">
        <v>1571</v>
      </c>
      <c r="AI440" t="s">
        <v>1572</v>
      </c>
      <c r="AJ440" t="s">
        <v>1572</v>
      </c>
      <c r="AL440" t="s">
        <v>1573</v>
      </c>
      <c r="AS440" t="s">
        <v>160</v>
      </c>
      <c r="AX440" s="6">
        <v>143.09</v>
      </c>
      <c r="AY440" s="6" t="s">
        <v>1574</v>
      </c>
      <c r="AZ440" s="6">
        <v>93.1</v>
      </c>
      <c r="BA440" s="6"/>
      <c r="BB440" s="6">
        <v>-146</v>
      </c>
    </row>
    <row r="441" spans="32:55">
      <c r="AF441">
        <f t="shared" si="36"/>
        <v>0</v>
      </c>
      <c r="AG441" t="str">
        <f t="shared" si="37"/>
        <v>CuO (s)</v>
      </c>
      <c r="AH441" t="s">
        <v>1575</v>
      </c>
      <c r="AI441" t="s">
        <v>1575</v>
      </c>
      <c r="AJ441" t="s">
        <v>1575</v>
      </c>
      <c r="AL441" t="s">
        <v>1576</v>
      </c>
      <c r="AS441" t="s">
        <v>160</v>
      </c>
      <c r="AX441" s="6">
        <v>79.55</v>
      </c>
      <c r="AY441" s="6" t="s">
        <v>1577</v>
      </c>
      <c r="AZ441" s="6">
        <v>42.6</v>
      </c>
      <c r="BA441" s="6"/>
      <c r="BB441" s="6">
        <v>-130</v>
      </c>
    </row>
    <row r="442" spans="32:55">
      <c r="AF442">
        <f t="shared" si="36"/>
        <v>0</v>
      </c>
      <c r="AG442" t="str">
        <f t="shared" si="37"/>
        <v>Cu₂SO₄ (s)</v>
      </c>
      <c r="AH442" t="s">
        <v>1578</v>
      </c>
      <c r="AI442" t="s">
        <v>1579</v>
      </c>
      <c r="AJ442" t="s">
        <v>1579</v>
      </c>
      <c r="AL442" t="s">
        <v>1580</v>
      </c>
      <c r="AS442" t="s">
        <v>160</v>
      </c>
      <c r="AX442" s="6">
        <v>223.15</v>
      </c>
      <c r="AY442" s="6" t="s">
        <v>1581</v>
      </c>
      <c r="AZ442" s="6" t="s">
        <v>168</v>
      </c>
      <c r="BA442" s="6"/>
      <c r="BB442" s="6"/>
      <c r="BC442" s="6"/>
    </row>
    <row r="443" spans="32:55">
      <c r="AF443">
        <f t="shared" si="36"/>
        <v>0</v>
      </c>
      <c r="AG443" t="str">
        <f t="shared" si="37"/>
        <v>CuSO₄ (s)</v>
      </c>
      <c r="AH443" t="s">
        <v>1582</v>
      </c>
      <c r="AI443" t="s">
        <v>1583</v>
      </c>
      <c r="AJ443" t="s">
        <v>1583</v>
      </c>
      <c r="AL443" t="s">
        <v>1584</v>
      </c>
      <c r="AS443" t="s">
        <v>160</v>
      </c>
      <c r="AX443" s="6">
        <v>159.61000000000001</v>
      </c>
      <c r="AY443" s="6" t="s">
        <v>1585</v>
      </c>
      <c r="AZ443" s="6">
        <v>109.2</v>
      </c>
      <c r="BA443" s="6"/>
      <c r="BB443" s="6">
        <v>-662.3</v>
      </c>
    </row>
    <row r="444" spans="32:55">
      <c r="AF444">
        <f t="shared" si="36"/>
        <v>0</v>
      </c>
      <c r="AG444" t="str">
        <f t="shared" si="37"/>
        <v>CuSO₄∙5H₂O (s)</v>
      </c>
      <c r="AH444" t="s">
        <v>1586</v>
      </c>
      <c r="AI444" t="s">
        <v>1587</v>
      </c>
      <c r="AJ444" t="s">
        <v>1588</v>
      </c>
      <c r="AK444" t="s">
        <v>1589</v>
      </c>
      <c r="AL444" t="s">
        <v>1590</v>
      </c>
      <c r="AS444" t="s">
        <v>160</v>
      </c>
      <c r="AX444" s="6">
        <v>249.69</v>
      </c>
      <c r="AY444" s="6" t="s">
        <v>1591</v>
      </c>
      <c r="AZ444" s="6">
        <v>301.7</v>
      </c>
      <c r="BA444" s="6"/>
      <c r="BB444" s="6">
        <v>-1879.4</v>
      </c>
    </row>
    <row r="445" spans="32:55">
      <c r="AF445">
        <f t="shared" si="36"/>
        <v>0</v>
      </c>
      <c r="AG445" t="str">
        <f t="shared" si="37"/>
        <v>Cu₂S (s)</v>
      </c>
      <c r="AH445" t="s">
        <v>1592</v>
      </c>
      <c r="AI445" t="s">
        <v>1593</v>
      </c>
      <c r="AJ445" t="s">
        <v>1593</v>
      </c>
      <c r="AK445" t="s">
        <v>1594</v>
      </c>
      <c r="AL445" t="s">
        <v>1595</v>
      </c>
      <c r="AS445" t="s">
        <v>160</v>
      </c>
      <c r="AX445" s="6">
        <v>159.16</v>
      </c>
      <c r="AY445" s="6" t="s">
        <v>1596</v>
      </c>
      <c r="AZ445" s="6">
        <v>120.9</v>
      </c>
      <c r="BA445" s="6"/>
      <c r="BB445" s="6">
        <v>-86.2</v>
      </c>
    </row>
    <row r="446" spans="32:55">
      <c r="AF446">
        <f t="shared" si="36"/>
        <v>0</v>
      </c>
      <c r="AG446" t="str">
        <f t="shared" si="37"/>
        <v>CuS (s)</v>
      </c>
      <c r="AH446" t="s">
        <v>1597</v>
      </c>
      <c r="AI446" t="s">
        <v>1597</v>
      </c>
      <c r="AJ446" t="s">
        <v>1597</v>
      </c>
      <c r="AL446" t="s">
        <v>1598</v>
      </c>
      <c r="AS446" t="s">
        <v>160</v>
      </c>
      <c r="AX446" s="6">
        <v>95.61</v>
      </c>
      <c r="AY446" s="6" t="s">
        <v>1599</v>
      </c>
      <c r="AZ446" s="6">
        <v>66.5</v>
      </c>
      <c r="BA446" s="6"/>
      <c r="BB446" s="6">
        <v>-53.6</v>
      </c>
    </row>
    <row r="447" spans="32:55">
      <c r="AF447">
        <f t="shared" si="36"/>
        <v>0</v>
      </c>
      <c r="AG447" t="str">
        <f t="shared" si="37"/>
        <v>Kr (g)</v>
      </c>
      <c r="AH447" t="s">
        <v>1600</v>
      </c>
      <c r="AI447" t="s">
        <v>1600</v>
      </c>
      <c r="AJ447" t="s">
        <v>1600</v>
      </c>
      <c r="AL447" t="s">
        <v>1601</v>
      </c>
      <c r="AS447" t="s">
        <v>47</v>
      </c>
      <c r="AX447" s="6">
        <v>83.8</v>
      </c>
      <c r="AY447" s="6" t="s">
        <v>161</v>
      </c>
      <c r="AZ447" s="6">
        <v>164.1</v>
      </c>
      <c r="BA447" s="6"/>
      <c r="BB447" s="6">
        <v>0</v>
      </c>
    </row>
    <row r="448" spans="32:55">
      <c r="AF448">
        <f t="shared" si="36"/>
        <v>0</v>
      </c>
      <c r="AG448" t="str">
        <f t="shared" si="37"/>
        <v>KrF₂ (g)</v>
      </c>
      <c r="AH448" t="s">
        <v>1602</v>
      </c>
      <c r="AI448" t="s">
        <v>1603</v>
      </c>
      <c r="AJ448" t="s">
        <v>1603</v>
      </c>
      <c r="AL448" t="s">
        <v>1604</v>
      </c>
      <c r="AS448" t="s">
        <v>47</v>
      </c>
      <c r="AX448" s="6">
        <v>121.8</v>
      </c>
      <c r="AY448" s="6" t="s">
        <v>1605</v>
      </c>
      <c r="AZ448" s="6" t="s">
        <v>168</v>
      </c>
      <c r="BA448" s="6"/>
      <c r="BB448" s="6"/>
      <c r="BC448" s="6"/>
    </row>
    <row r="449" spans="32:55">
      <c r="AF449">
        <f t="shared" si="36"/>
        <v>0</v>
      </c>
      <c r="AG449" t="str">
        <f t="shared" si="37"/>
        <v>Hg (l)</v>
      </c>
      <c r="AH449" t="s">
        <v>1606</v>
      </c>
      <c r="AI449" t="s">
        <v>1606</v>
      </c>
      <c r="AJ449" t="s">
        <v>1606</v>
      </c>
      <c r="AL449" t="s">
        <v>1607</v>
      </c>
      <c r="AS449" t="s">
        <v>239</v>
      </c>
      <c r="AX449" s="6">
        <v>200.59</v>
      </c>
      <c r="AY449" s="6" t="s">
        <v>161</v>
      </c>
      <c r="AZ449" s="6">
        <v>75.900000000000006</v>
      </c>
      <c r="BA449" s="6"/>
      <c r="BB449" s="6">
        <v>0</v>
      </c>
    </row>
    <row r="450" spans="32:55">
      <c r="AF450">
        <f t="shared" si="36"/>
        <v>0</v>
      </c>
      <c r="AG450" t="str">
        <f t="shared" si="37"/>
        <v>Hg (g)</v>
      </c>
      <c r="AH450" t="s">
        <v>1606</v>
      </c>
      <c r="AI450" t="s">
        <v>1606</v>
      </c>
      <c r="AJ450" t="s">
        <v>1606</v>
      </c>
      <c r="AL450" t="s">
        <v>1607</v>
      </c>
      <c r="AS450" t="s">
        <v>47</v>
      </c>
      <c r="AX450" s="6">
        <v>200.59</v>
      </c>
      <c r="AY450" s="6" t="s">
        <v>1608</v>
      </c>
      <c r="AZ450" s="6">
        <v>174.96</v>
      </c>
      <c r="BA450" s="6"/>
      <c r="BB450" s="6">
        <v>31.85</v>
      </c>
    </row>
    <row r="451" spans="32:55">
      <c r="AF451">
        <f t="shared" ref="AF451:AF514" si="38">IF(OR(AG451="",COUNTIF(AG:AG, AG451) = 1),0, "1")</f>
        <v>0</v>
      </c>
      <c r="AG451" t="str">
        <f t="shared" ref="AG451:AG514" si="39">IF(AS451 &lt;&gt; "",AH451&amp;" ("&amp;AS451 &amp;")","")</f>
        <v>Hg (aq)</v>
      </c>
      <c r="AH451" t="s">
        <v>1606</v>
      </c>
      <c r="AI451" t="s">
        <v>1606</v>
      </c>
      <c r="AJ451" t="s">
        <v>1606</v>
      </c>
      <c r="AL451" t="s">
        <v>1607</v>
      </c>
      <c r="AS451" t="s">
        <v>48</v>
      </c>
      <c r="AX451" s="6">
        <v>200.59</v>
      </c>
      <c r="AY451" s="6" t="s">
        <v>1609</v>
      </c>
      <c r="AZ451" s="6">
        <v>-2.1</v>
      </c>
      <c r="BA451" s="6"/>
      <c r="BB451" s="6">
        <v>37.200000000000003</v>
      </c>
    </row>
    <row r="452" spans="32:55">
      <c r="AF452">
        <f t="shared" si="38"/>
        <v>0</v>
      </c>
      <c r="AG452" t="str">
        <f t="shared" si="39"/>
        <v>Hg₂²⁺ (aq)</v>
      </c>
      <c r="AH452" t="s">
        <v>1610</v>
      </c>
      <c r="AI452" t="s">
        <v>1611</v>
      </c>
      <c r="AJ452" t="s">
        <v>1611</v>
      </c>
      <c r="AK452" t="s">
        <v>1612</v>
      </c>
      <c r="AL452" t="s">
        <v>1613</v>
      </c>
      <c r="AS452" t="s">
        <v>48</v>
      </c>
      <c r="AX452" s="6">
        <v>401.18</v>
      </c>
      <c r="AY452" s="6" t="s">
        <v>1614</v>
      </c>
      <c r="AZ452" s="6">
        <v>65.739999999999995</v>
      </c>
      <c r="BA452" s="6"/>
      <c r="BB452" s="6">
        <v>153.61000000000001</v>
      </c>
    </row>
    <row r="453" spans="32:55">
      <c r="AF453">
        <f t="shared" si="38"/>
        <v>0</v>
      </c>
      <c r="AG453" t="str">
        <f t="shared" si="39"/>
        <v>Hg²⁺ (aq)</v>
      </c>
      <c r="AH453" t="s">
        <v>1615</v>
      </c>
      <c r="AI453" t="s">
        <v>1616</v>
      </c>
      <c r="AJ453" t="s">
        <v>1616</v>
      </c>
      <c r="AL453" t="s">
        <v>1617</v>
      </c>
      <c r="AS453" t="s">
        <v>48</v>
      </c>
      <c r="AX453" s="6">
        <v>200.59</v>
      </c>
      <c r="AY453" s="6" t="s">
        <v>1618</v>
      </c>
      <c r="AZ453" s="6">
        <v>-36.19</v>
      </c>
      <c r="BA453" s="6"/>
      <c r="BB453" s="6">
        <v>164.7</v>
      </c>
    </row>
    <row r="454" spans="32:55">
      <c r="AF454">
        <f t="shared" si="38"/>
        <v>0</v>
      </c>
      <c r="AG454" t="str">
        <f t="shared" si="39"/>
        <v>Hg₂Br₂ (s)</v>
      </c>
      <c r="AH454" t="s">
        <v>1619</v>
      </c>
      <c r="AI454" t="s">
        <v>1620</v>
      </c>
      <c r="AJ454" t="s">
        <v>1620</v>
      </c>
      <c r="AK454" t="s">
        <v>1621</v>
      </c>
      <c r="AL454" t="s">
        <v>1622</v>
      </c>
      <c r="AS454" t="s">
        <v>160</v>
      </c>
      <c r="AX454" s="6">
        <v>560.99</v>
      </c>
      <c r="AY454" s="6" t="s">
        <v>1623</v>
      </c>
      <c r="AZ454" s="6">
        <v>218</v>
      </c>
      <c r="BA454" s="6"/>
      <c r="BB454" s="6">
        <v>-181.08</v>
      </c>
    </row>
    <row r="455" spans="32:55">
      <c r="AF455">
        <f t="shared" si="38"/>
        <v>0</v>
      </c>
      <c r="AG455" t="str">
        <f t="shared" si="39"/>
        <v>HgBr₂ (s)</v>
      </c>
      <c r="AH455" t="s">
        <v>1624</v>
      </c>
      <c r="AI455" t="s">
        <v>1625</v>
      </c>
      <c r="AJ455" t="s">
        <v>1625</v>
      </c>
      <c r="AL455" t="s">
        <v>1626</v>
      </c>
      <c r="AS455" t="s">
        <v>160</v>
      </c>
      <c r="AX455" s="6">
        <v>360.4</v>
      </c>
      <c r="AY455" s="6" t="s">
        <v>1627</v>
      </c>
      <c r="AZ455" s="6">
        <v>172</v>
      </c>
      <c r="BA455" s="6"/>
      <c r="BB455" s="6">
        <v>-153.1</v>
      </c>
    </row>
    <row r="456" spans="32:55">
      <c r="AF456">
        <f t="shared" si="38"/>
        <v>0</v>
      </c>
      <c r="AG456" t="str">
        <f t="shared" si="39"/>
        <v>Hg₂Cl₂ (s)</v>
      </c>
      <c r="AH456" t="s">
        <v>1628</v>
      </c>
      <c r="AI456" t="s">
        <v>1629</v>
      </c>
      <c r="AJ456" t="s">
        <v>1629</v>
      </c>
      <c r="AK456" t="s">
        <v>1630</v>
      </c>
      <c r="AL456" t="s">
        <v>1631</v>
      </c>
      <c r="AS456" t="s">
        <v>160</v>
      </c>
      <c r="AX456" s="6">
        <v>472.09</v>
      </c>
      <c r="AY456" s="6" t="s">
        <v>1632</v>
      </c>
      <c r="AZ456" s="6">
        <v>191.6</v>
      </c>
      <c r="BA456" s="6"/>
      <c r="BB456" s="6">
        <v>-210.7</v>
      </c>
    </row>
    <row r="457" spans="32:55">
      <c r="AF457">
        <f t="shared" si="38"/>
        <v>0</v>
      </c>
      <c r="AG457" t="str">
        <f t="shared" si="39"/>
        <v>HgCl₂ (s)</v>
      </c>
      <c r="AH457" t="s">
        <v>1633</v>
      </c>
      <c r="AI457" t="s">
        <v>1634</v>
      </c>
      <c r="AJ457" t="s">
        <v>1634</v>
      </c>
      <c r="AL457" t="s">
        <v>1635</v>
      </c>
      <c r="AS457" t="s">
        <v>160</v>
      </c>
      <c r="AX457" s="6">
        <v>271.5</v>
      </c>
      <c r="AY457" s="6" t="s">
        <v>1636</v>
      </c>
      <c r="AZ457" s="6">
        <v>146</v>
      </c>
      <c r="BA457" s="6"/>
      <c r="BB457" s="6">
        <v>-178.6</v>
      </c>
    </row>
    <row r="458" spans="32:55">
      <c r="AF458">
        <f t="shared" si="38"/>
        <v>0</v>
      </c>
      <c r="AG458" t="str">
        <f t="shared" si="39"/>
        <v>Hg₂I₂ (s)</v>
      </c>
      <c r="AH458" t="s">
        <v>1637</v>
      </c>
      <c r="AI458" t="s">
        <v>1638</v>
      </c>
      <c r="AJ458" t="s">
        <v>1638</v>
      </c>
      <c r="AL458" t="s">
        <v>1639</v>
      </c>
      <c r="AS458" t="s">
        <v>160</v>
      </c>
      <c r="AX458" s="6">
        <v>654.99</v>
      </c>
      <c r="AY458" s="6" t="s">
        <v>1640</v>
      </c>
      <c r="AZ458" s="6">
        <v>233.5</v>
      </c>
      <c r="BA458" s="6"/>
      <c r="BB458" s="6">
        <v>-111</v>
      </c>
    </row>
    <row r="459" spans="32:55">
      <c r="AF459">
        <f t="shared" si="38"/>
        <v>0</v>
      </c>
      <c r="AG459" t="str">
        <f t="shared" si="39"/>
        <v>HgI₂ (s)</v>
      </c>
      <c r="AH459" t="s">
        <v>1641</v>
      </c>
      <c r="AI459" t="s">
        <v>1642</v>
      </c>
      <c r="AJ459" t="s">
        <v>1642</v>
      </c>
      <c r="AL459" t="s">
        <v>1643</v>
      </c>
      <c r="AS459" t="s">
        <v>160</v>
      </c>
      <c r="AX459" s="6">
        <v>454.4</v>
      </c>
      <c r="AY459" s="6" t="s">
        <v>1644</v>
      </c>
      <c r="AZ459" s="6">
        <v>180</v>
      </c>
      <c r="BA459" s="6"/>
      <c r="BB459" s="6">
        <v>-101.7</v>
      </c>
    </row>
    <row r="460" spans="32:55">
      <c r="AF460">
        <f t="shared" si="38"/>
        <v>0</v>
      </c>
      <c r="AG460" t="str">
        <f t="shared" si="39"/>
        <v>HgI₂ (s,gul)</v>
      </c>
      <c r="AH460" t="s">
        <v>1641</v>
      </c>
      <c r="AI460" t="s">
        <v>1642</v>
      </c>
      <c r="AJ460" t="s">
        <v>1642</v>
      </c>
      <c r="AL460" t="s">
        <v>1643</v>
      </c>
      <c r="AS460" t="s">
        <v>1645</v>
      </c>
      <c r="AX460" s="6">
        <v>454.4</v>
      </c>
      <c r="AY460" s="6" t="s">
        <v>1646</v>
      </c>
      <c r="AZ460" s="6" t="s">
        <v>168</v>
      </c>
      <c r="BA460" s="6"/>
      <c r="BB460" s="6" t="s">
        <v>168</v>
      </c>
      <c r="BC460" s="6"/>
    </row>
    <row r="461" spans="32:55">
      <c r="AF461">
        <f t="shared" si="38"/>
        <v>0</v>
      </c>
      <c r="AG461" t="str">
        <f t="shared" si="39"/>
        <v>Hg₂(NO₃)₂∙2H₂O (s)</v>
      </c>
      <c r="AH461" t="s">
        <v>1647</v>
      </c>
      <c r="AI461" t="s">
        <v>1648</v>
      </c>
      <c r="AJ461" t="s">
        <v>1649</v>
      </c>
      <c r="AL461" t="s">
        <v>1650</v>
      </c>
      <c r="AS461" t="s">
        <v>160</v>
      </c>
      <c r="AX461" s="6">
        <v>561.22</v>
      </c>
      <c r="AY461" s="6" t="s">
        <v>1651</v>
      </c>
      <c r="AZ461" s="6" t="s">
        <v>168</v>
      </c>
      <c r="BA461" s="6"/>
      <c r="BB461" s="6" t="s">
        <v>168</v>
      </c>
      <c r="BC461" s="6"/>
    </row>
    <row r="462" spans="32:55">
      <c r="AF462">
        <f t="shared" si="38"/>
        <v>0</v>
      </c>
      <c r="AG462" t="str">
        <f t="shared" si="39"/>
        <v>Hg(NO₃)₂∙½H₂O (s)</v>
      </c>
      <c r="AH462" t="s">
        <v>1652</v>
      </c>
      <c r="AI462" t="s">
        <v>1653</v>
      </c>
      <c r="AJ462" t="s">
        <v>1654</v>
      </c>
      <c r="AL462" t="s">
        <v>1655</v>
      </c>
      <c r="AS462" t="s">
        <v>160</v>
      </c>
      <c r="AX462" s="6">
        <v>333.61</v>
      </c>
      <c r="AY462" s="6" t="s">
        <v>1656</v>
      </c>
      <c r="AZ462" s="6" t="s">
        <v>168</v>
      </c>
      <c r="BA462" s="6"/>
      <c r="BB462" s="6" t="s">
        <v>168</v>
      </c>
      <c r="BC462" s="6"/>
    </row>
    <row r="463" spans="32:55">
      <c r="AF463">
        <f t="shared" si="38"/>
        <v>0</v>
      </c>
      <c r="AG463" t="str">
        <f t="shared" si="39"/>
        <v>Hg₂O (s)</v>
      </c>
      <c r="AH463" t="s">
        <v>1657</v>
      </c>
      <c r="AI463" t="s">
        <v>1658</v>
      </c>
      <c r="AJ463" t="s">
        <v>1658</v>
      </c>
      <c r="AK463" t="s">
        <v>1659</v>
      </c>
      <c r="AL463" t="s">
        <v>1660</v>
      </c>
      <c r="AS463" t="s">
        <v>160</v>
      </c>
      <c r="AX463" s="6">
        <v>417.18</v>
      </c>
      <c r="AY463" s="6" t="s">
        <v>1661</v>
      </c>
      <c r="AZ463" s="6" t="s">
        <v>168</v>
      </c>
      <c r="BA463" s="6"/>
      <c r="BB463" s="6">
        <v>-53.6</v>
      </c>
    </row>
    <row r="464" spans="32:55">
      <c r="AF464">
        <f t="shared" si="38"/>
        <v>0</v>
      </c>
      <c r="AG464" t="str">
        <f t="shared" si="39"/>
        <v>HgO (s)</v>
      </c>
      <c r="AH464" t="s">
        <v>1662</v>
      </c>
      <c r="AI464" t="s">
        <v>1662</v>
      </c>
      <c r="AJ464" t="s">
        <v>1662</v>
      </c>
      <c r="AL464" t="s">
        <v>1663</v>
      </c>
      <c r="AS464" t="s">
        <v>160</v>
      </c>
      <c r="AX464" s="6">
        <v>216.59</v>
      </c>
      <c r="AY464" s="6" t="s">
        <v>1664</v>
      </c>
      <c r="AZ464" s="6">
        <v>70.25</v>
      </c>
      <c r="BA464" s="6"/>
      <c r="BB464" s="6">
        <v>-58.5</v>
      </c>
    </row>
    <row r="465" spans="32:54">
      <c r="AF465">
        <f t="shared" si="38"/>
        <v>0</v>
      </c>
      <c r="AG465" t="str">
        <f t="shared" si="39"/>
        <v>HgO (s,gul)</v>
      </c>
      <c r="AH465" t="s">
        <v>1662</v>
      </c>
      <c r="AI465" t="s">
        <v>1662</v>
      </c>
      <c r="AJ465" t="s">
        <v>1662</v>
      </c>
      <c r="AL465" t="s">
        <v>1663</v>
      </c>
      <c r="AS465" t="s">
        <v>1645</v>
      </c>
      <c r="AX465" s="6">
        <v>216.59</v>
      </c>
      <c r="AY465" s="6" t="s">
        <v>1665</v>
      </c>
      <c r="AZ465" s="6">
        <v>69.87</v>
      </c>
      <c r="BA465" s="6"/>
      <c r="BB465" s="6">
        <v>-58.45</v>
      </c>
    </row>
    <row r="466" spans="32:54">
      <c r="AF466">
        <f t="shared" si="38"/>
        <v>0</v>
      </c>
      <c r="AG466" t="str">
        <f t="shared" si="39"/>
        <v>HgS (s)</v>
      </c>
      <c r="AH466" t="s">
        <v>1666</v>
      </c>
      <c r="AI466" t="s">
        <v>1666</v>
      </c>
      <c r="AJ466" t="s">
        <v>1666</v>
      </c>
      <c r="AL466" t="s">
        <v>1667</v>
      </c>
      <c r="AS466" t="s">
        <v>160</v>
      </c>
      <c r="AX466" s="6">
        <v>232.66</v>
      </c>
      <c r="AY466" s="6" t="s">
        <v>1036</v>
      </c>
      <c r="AZ466" s="6">
        <v>82.4</v>
      </c>
      <c r="BA466" s="6"/>
      <c r="BB466" s="6">
        <v>-50.6</v>
      </c>
    </row>
    <row r="467" spans="32:54">
      <c r="AF467">
        <f t="shared" si="38"/>
        <v>0</v>
      </c>
      <c r="AG467" t="str">
        <f t="shared" si="39"/>
        <v>HgS (s,sort)</v>
      </c>
      <c r="AH467" t="s">
        <v>1666</v>
      </c>
      <c r="AI467" t="s">
        <v>1666</v>
      </c>
      <c r="AJ467" t="s">
        <v>1666</v>
      </c>
      <c r="AL467" t="s">
        <v>1667</v>
      </c>
      <c r="AS467" t="s">
        <v>1668</v>
      </c>
      <c r="AX467" s="6">
        <v>232.66</v>
      </c>
      <c r="AY467" s="6" t="s">
        <v>1669</v>
      </c>
      <c r="AZ467" s="6">
        <v>88.7</v>
      </c>
      <c r="BA467" s="6"/>
      <c r="BB467" s="6">
        <v>-44.4</v>
      </c>
    </row>
    <row r="468" spans="32:54">
      <c r="AF468">
        <f t="shared" si="38"/>
        <v>0</v>
      </c>
      <c r="AG468" t="str">
        <f t="shared" si="39"/>
        <v>Hg₂SO₄ (s)</v>
      </c>
      <c r="AH468" t="s">
        <v>1670</v>
      </c>
      <c r="AI468" t="s">
        <v>1671</v>
      </c>
      <c r="AJ468" t="s">
        <v>1671</v>
      </c>
      <c r="AL468" t="s">
        <v>1672</v>
      </c>
      <c r="AS468" t="s">
        <v>160</v>
      </c>
      <c r="AX468" s="6">
        <v>497.24</v>
      </c>
      <c r="AY468" s="6" t="s">
        <v>1673</v>
      </c>
      <c r="AZ468" s="6">
        <v>200.7</v>
      </c>
      <c r="BA468" s="6"/>
      <c r="BB468" s="6">
        <v>-625.79999999999995</v>
      </c>
    </row>
    <row r="469" spans="32:54">
      <c r="AF469">
        <f t="shared" si="38"/>
        <v>0</v>
      </c>
      <c r="AG469" t="str">
        <f t="shared" si="39"/>
        <v>Li (s)</v>
      </c>
      <c r="AH469" t="s">
        <v>1674</v>
      </c>
      <c r="AI469" t="s">
        <v>1674</v>
      </c>
      <c r="AJ469" t="s">
        <v>1674</v>
      </c>
      <c r="AL469" t="s">
        <v>1675</v>
      </c>
      <c r="AS469" t="s">
        <v>160</v>
      </c>
      <c r="AX469" s="6">
        <v>6.94</v>
      </c>
      <c r="AY469" s="6" t="s">
        <v>161</v>
      </c>
      <c r="AZ469" s="6">
        <v>29.12</v>
      </c>
      <c r="BA469" s="6"/>
      <c r="BB469" s="6">
        <v>0</v>
      </c>
    </row>
    <row r="470" spans="32:54">
      <c r="AF470">
        <f t="shared" si="38"/>
        <v>0</v>
      </c>
      <c r="AG470" t="str">
        <f t="shared" si="39"/>
        <v>Li⁺ (g)</v>
      </c>
      <c r="AH470" t="s">
        <v>1676</v>
      </c>
      <c r="AI470" t="s">
        <v>1677</v>
      </c>
      <c r="AJ470" t="s">
        <v>1677</v>
      </c>
      <c r="AK470" t="s">
        <v>1678</v>
      </c>
      <c r="AL470" t="s">
        <v>1679</v>
      </c>
      <c r="AS470" t="s">
        <v>47</v>
      </c>
      <c r="AX470" s="6">
        <v>6.94</v>
      </c>
      <c r="AY470" s="6" t="s">
        <v>1680</v>
      </c>
      <c r="AZ470" s="6">
        <v>133.02000000000001</v>
      </c>
      <c r="BA470" s="6"/>
      <c r="BB470" s="6">
        <v>650.01</v>
      </c>
    </row>
    <row r="471" spans="32:54">
      <c r="AF471">
        <f t="shared" si="38"/>
        <v>0</v>
      </c>
      <c r="AG471" t="str">
        <f t="shared" si="39"/>
        <v>Li⁺ (aq)</v>
      </c>
      <c r="AH471" t="s">
        <v>1676</v>
      </c>
      <c r="AI471" t="s">
        <v>1677</v>
      </c>
      <c r="AJ471" t="s">
        <v>1677</v>
      </c>
      <c r="AL471" t="s">
        <v>1679</v>
      </c>
      <c r="AS471" t="s">
        <v>48</v>
      </c>
      <c r="AX471" s="6">
        <v>6.94</v>
      </c>
      <c r="AY471" s="6" t="s">
        <v>1681</v>
      </c>
      <c r="AZ471" s="6">
        <v>12.24</v>
      </c>
      <c r="BA471" s="6"/>
      <c r="BB471" s="6">
        <v>-293.3</v>
      </c>
    </row>
    <row r="472" spans="32:54">
      <c r="AF472">
        <f t="shared" si="38"/>
        <v>0</v>
      </c>
      <c r="AG472" t="str">
        <f t="shared" si="39"/>
        <v>LiAlH₄ (s)</v>
      </c>
      <c r="AH472" t="s">
        <v>1682</v>
      </c>
      <c r="AI472" t="s">
        <v>1683</v>
      </c>
      <c r="AJ472" t="s">
        <v>1683</v>
      </c>
      <c r="AL472" t="s">
        <v>1684</v>
      </c>
      <c r="AS472" t="s">
        <v>160</v>
      </c>
      <c r="AX472" s="6">
        <v>37.950000000000003</v>
      </c>
      <c r="AY472" s="6" t="s">
        <v>1685</v>
      </c>
      <c r="AZ472" s="6">
        <v>87.8</v>
      </c>
      <c r="BA472" s="6"/>
      <c r="BB472" s="6">
        <v>-48.4</v>
      </c>
    </row>
    <row r="473" spans="32:54">
      <c r="AF473">
        <f t="shared" si="38"/>
        <v>0</v>
      </c>
      <c r="AG473" t="str">
        <f t="shared" si="39"/>
        <v>LiBH₄ (s)</v>
      </c>
      <c r="AH473" t="s">
        <v>1686</v>
      </c>
      <c r="AI473" t="s">
        <v>1687</v>
      </c>
      <c r="AJ473" t="s">
        <v>1687</v>
      </c>
      <c r="AL473" t="s">
        <v>1688</v>
      </c>
      <c r="AS473" t="s">
        <v>160</v>
      </c>
      <c r="AX473" s="6">
        <v>21.78</v>
      </c>
      <c r="AY473" s="6" t="s">
        <v>1689</v>
      </c>
      <c r="AZ473" s="6">
        <v>75.900000000000006</v>
      </c>
      <c r="BA473" s="6"/>
      <c r="BB473" s="6">
        <v>-125</v>
      </c>
    </row>
    <row r="474" spans="32:54">
      <c r="AF474">
        <f t="shared" si="38"/>
        <v>0</v>
      </c>
      <c r="AG474" t="str">
        <f t="shared" si="39"/>
        <v>LiBr (s)</v>
      </c>
      <c r="AH474" t="s">
        <v>1690</v>
      </c>
      <c r="AI474" t="s">
        <v>1690</v>
      </c>
      <c r="AJ474" t="s">
        <v>1690</v>
      </c>
      <c r="AL474" t="s">
        <v>1691</v>
      </c>
      <c r="AS474" t="s">
        <v>160</v>
      </c>
      <c r="AX474" s="6">
        <v>86.85</v>
      </c>
      <c r="AY474" s="6" t="s">
        <v>1692</v>
      </c>
      <c r="AZ474" s="6">
        <v>74.3</v>
      </c>
      <c r="BA474" s="6"/>
      <c r="BB474" s="6">
        <v>-342</v>
      </c>
    </row>
    <row r="475" spans="32:54">
      <c r="AF475">
        <f t="shared" si="38"/>
        <v>0</v>
      </c>
      <c r="AG475" t="str">
        <f t="shared" si="39"/>
        <v>Li₂CO₃ (s)</v>
      </c>
      <c r="AH475" t="s">
        <v>1693</v>
      </c>
      <c r="AI475" t="s">
        <v>1694</v>
      </c>
      <c r="AJ475" t="s">
        <v>1694</v>
      </c>
      <c r="AL475" t="s">
        <v>1695</v>
      </c>
      <c r="AS475" t="s">
        <v>160</v>
      </c>
      <c r="AX475" s="6">
        <v>73.89</v>
      </c>
      <c r="AY475" s="6" t="s">
        <v>1696</v>
      </c>
      <c r="AZ475" s="6">
        <v>90.37</v>
      </c>
      <c r="BA475" s="6"/>
      <c r="BB475" s="6">
        <v>-1132.4000000000001</v>
      </c>
    </row>
    <row r="476" spans="32:54">
      <c r="AF476">
        <f t="shared" si="38"/>
        <v>0</v>
      </c>
      <c r="AG476" t="str">
        <f t="shared" si="39"/>
        <v>LiCl (s)</v>
      </c>
      <c r="AH476" t="s">
        <v>1697</v>
      </c>
      <c r="AI476" t="s">
        <v>1697</v>
      </c>
      <c r="AJ476" t="s">
        <v>1697</v>
      </c>
      <c r="AL476" t="s">
        <v>1698</v>
      </c>
      <c r="AS476" t="s">
        <v>160</v>
      </c>
      <c r="AX476" s="6">
        <v>42.39</v>
      </c>
      <c r="AY476" s="6" t="s">
        <v>1699</v>
      </c>
      <c r="AZ476" s="6">
        <v>59.3</v>
      </c>
      <c r="BA476" s="6"/>
      <c r="BB476" s="6">
        <v>-384.4</v>
      </c>
    </row>
    <row r="477" spans="32:54">
      <c r="AF477">
        <f t="shared" si="38"/>
        <v>0</v>
      </c>
      <c r="AG477" t="str">
        <f t="shared" si="39"/>
        <v>LiF (s)</v>
      </c>
      <c r="AH477" t="s">
        <v>1700</v>
      </c>
      <c r="AI477" t="s">
        <v>1700</v>
      </c>
      <c r="AJ477" t="s">
        <v>1700</v>
      </c>
      <c r="AL477" t="s">
        <v>1701</v>
      </c>
      <c r="AS477" t="s">
        <v>160</v>
      </c>
      <c r="AX477" s="6">
        <v>25.94</v>
      </c>
      <c r="AY477" s="6" t="s">
        <v>1702</v>
      </c>
      <c r="AZ477" s="6">
        <v>35.700000000000003</v>
      </c>
      <c r="BA477" s="6"/>
      <c r="BB477" s="6">
        <v>-587.70000000000005</v>
      </c>
    </row>
    <row r="478" spans="32:54">
      <c r="AF478">
        <f t="shared" si="38"/>
        <v>0</v>
      </c>
      <c r="AG478" t="str">
        <f t="shared" si="39"/>
        <v>LiH (s)</v>
      </c>
      <c r="AH478" t="s">
        <v>1703</v>
      </c>
      <c r="AI478" t="s">
        <v>1703</v>
      </c>
      <c r="AJ478" t="s">
        <v>1703</v>
      </c>
      <c r="AL478" t="s">
        <v>1704</v>
      </c>
      <c r="AS478" t="s">
        <v>160</v>
      </c>
      <c r="AX478" s="6">
        <v>7.95</v>
      </c>
      <c r="AY478" s="6" t="s">
        <v>1705</v>
      </c>
      <c r="AZ478" s="6">
        <v>20</v>
      </c>
      <c r="BA478" s="6"/>
      <c r="BB478" s="6">
        <v>-68.3</v>
      </c>
    </row>
    <row r="479" spans="32:54">
      <c r="AF479">
        <f t="shared" si="38"/>
        <v>0</v>
      </c>
      <c r="AG479" t="str">
        <f t="shared" si="39"/>
        <v>LiOH (s)</v>
      </c>
      <c r="AH479" t="s">
        <v>1706</v>
      </c>
      <c r="AI479" t="s">
        <v>1706</v>
      </c>
      <c r="AJ479" t="s">
        <v>1706</v>
      </c>
      <c r="AL479" t="s">
        <v>1707</v>
      </c>
      <c r="AS479" t="s">
        <v>160</v>
      </c>
      <c r="AX479" s="6">
        <v>23.95</v>
      </c>
      <c r="AY479" s="6" t="s">
        <v>1708</v>
      </c>
      <c r="AZ479" s="6">
        <v>42.8</v>
      </c>
      <c r="BA479" s="6"/>
      <c r="BB479" s="6">
        <v>-441.5</v>
      </c>
    </row>
    <row r="480" spans="32:54">
      <c r="AF480">
        <f t="shared" si="38"/>
        <v>0</v>
      </c>
      <c r="AG480" t="str">
        <f t="shared" si="39"/>
        <v>LiI (s)</v>
      </c>
      <c r="AH480" t="s">
        <v>1709</v>
      </c>
      <c r="AI480" t="s">
        <v>1709</v>
      </c>
      <c r="AJ480" t="s">
        <v>1709</v>
      </c>
      <c r="AL480" t="s">
        <v>1710</v>
      </c>
      <c r="AS480" t="s">
        <v>160</v>
      </c>
      <c r="AX480" s="6">
        <v>133.85</v>
      </c>
      <c r="AY480" s="6" t="s">
        <v>1711</v>
      </c>
      <c r="AZ480" s="6">
        <v>86.8</v>
      </c>
      <c r="BA480" s="6"/>
      <c r="BB480" s="6">
        <v>-270.3</v>
      </c>
    </row>
    <row r="481" spans="32:55">
      <c r="AF481">
        <f t="shared" si="38"/>
        <v>0</v>
      </c>
      <c r="AG481" t="str">
        <f t="shared" si="39"/>
        <v>Li₂O (s)</v>
      </c>
      <c r="AH481" t="s">
        <v>1712</v>
      </c>
      <c r="AI481" t="s">
        <v>1713</v>
      </c>
      <c r="AJ481" t="s">
        <v>1713</v>
      </c>
      <c r="AL481" t="s">
        <v>1714</v>
      </c>
      <c r="AS481" t="s">
        <v>160</v>
      </c>
      <c r="AX481" s="6">
        <v>29.88</v>
      </c>
      <c r="AY481" s="6" t="s">
        <v>1715</v>
      </c>
      <c r="AZ481" s="6">
        <v>37.6</v>
      </c>
      <c r="BA481" s="6"/>
      <c r="BB481" s="6">
        <v>-561.20000000000005</v>
      </c>
    </row>
    <row r="482" spans="32:55">
      <c r="AF482">
        <f t="shared" si="38"/>
        <v>0</v>
      </c>
      <c r="AG482" t="str">
        <f t="shared" si="39"/>
        <v>Li₂SO₄∙H₂O (s)</v>
      </c>
      <c r="AH482" t="s">
        <v>1716</v>
      </c>
      <c r="AI482" t="s">
        <v>1717</v>
      </c>
      <c r="AJ482" t="s">
        <v>1718</v>
      </c>
      <c r="AL482" t="s">
        <v>1719</v>
      </c>
      <c r="AS482" t="s">
        <v>160</v>
      </c>
      <c r="AX482" s="6">
        <v>127.95</v>
      </c>
      <c r="AY482" s="6" t="s">
        <v>1720</v>
      </c>
      <c r="AZ482" s="6">
        <v>163.6</v>
      </c>
      <c r="BA482" s="6"/>
      <c r="BB482" s="6">
        <v>-1565.6</v>
      </c>
    </row>
    <row r="483" spans="32:55">
      <c r="AF483">
        <f t="shared" si="38"/>
        <v>0</v>
      </c>
      <c r="AG483" t="str">
        <f t="shared" si="39"/>
        <v>Mg (s)</v>
      </c>
      <c r="AH483" t="s">
        <v>1721</v>
      </c>
      <c r="AI483" t="s">
        <v>1721</v>
      </c>
      <c r="AJ483" t="s">
        <v>1721</v>
      </c>
      <c r="AL483" t="s">
        <v>1722</v>
      </c>
      <c r="AS483" t="s">
        <v>160</v>
      </c>
      <c r="AX483" s="6">
        <v>24.31</v>
      </c>
      <c r="AY483" s="6" t="s">
        <v>161</v>
      </c>
      <c r="AZ483" s="6">
        <v>32.67</v>
      </c>
      <c r="BA483" s="6"/>
      <c r="BB483" s="6">
        <v>0</v>
      </c>
    </row>
    <row r="484" spans="32:55">
      <c r="AF484">
        <f t="shared" si="38"/>
        <v>0</v>
      </c>
      <c r="AG484" t="str">
        <f t="shared" si="39"/>
        <v>Mg²⁺ (g)</v>
      </c>
      <c r="AH484" t="s">
        <v>1723</v>
      </c>
      <c r="AI484" t="s">
        <v>1724</v>
      </c>
      <c r="AJ484" t="s">
        <v>1724</v>
      </c>
      <c r="AK484" t="s">
        <v>1725</v>
      </c>
      <c r="AL484" t="s">
        <v>1726</v>
      </c>
      <c r="AS484" t="s">
        <v>47</v>
      </c>
      <c r="AX484" s="6">
        <v>24.31</v>
      </c>
      <c r="AY484" s="6" t="s">
        <v>1727</v>
      </c>
      <c r="AZ484" s="6">
        <v>148.69999999999999</v>
      </c>
      <c r="BA484" s="6"/>
      <c r="BB484" s="6" t="s">
        <v>168</v>
      </c>
      <c r="BC484" s="6"/>
    </row>
    <row r="485" spans="32:55">
      <c r="AF485">
        <f t="shared" si="38"/>
        <v>0</v>
      </c>
      <c r="AG485" t="str">
        <f t="shared" si="39"/>
        <v>Mg²⁺ (aq)</v>
      </c>
      <c r="AH485" t="s">
        <v>1723</v>
      </c>
      <c r="AI485" t="s">
        <v>1724</v>
      </c>
      <c r="AJ485" t="s">
        <v>1724</v>
      </c>
      <c r="AL485" t="s">
        <v>1726</v>
      </c>
      <c r="AS485" t="s">
        <v>48</v>
      </c>
      <c r="AX485" s="6">
        <v>24.31</v>
      </c>
      <c r="AY485" s="6" t="s">
        <v>1728</v>
      </c>
      <c r="AZ485" s="6">
        <v>-137</v>
      </c>
      <c r="BA485" s="6"/>
      <c r="BB485" s="6">
        <v>-454.8</v>
      </c>
    </row>
    <row r="486" spans="32:55">
      <c r="AF486">
        <f t="shared" si="38"/>
        <v>0</v>
      </c>
      <c r="AG486" t="str">
        <f t="shared" si="39"/>
        <v>MgBr₂ (s)</v>
      </c>
      <c r="AH486" t="s">
        <v>1729</v>
      </c>
      <c r="AI486" t="s">
        <v>1730</v>
      </c>
      <c r="AJ486" t="s">
        <v>1730</v>
      </c>
      <c r="AL486" t="s">
        <v>1731</v>
      </c>
      <c r="AS486" t="s">
        <v>160</v>
      </c>
      <c r="AX486" s="6">
        <v>184.11</v>
      </c>
      <c r="AY486" s="6" t="s">
        <v>1732</v>
      </c>
      <c r="AZ486" s="6">
        <v>119.2</v>
      </c>
      <c r="BA486" s="6"/>
      <c r="BB486" s="6">
        <v>-468.5</v>
      </c>
    </row>
    <row r="487" spans="32:55">
      <c r="AF487">
        <f t="shared" si="38"/>
        <v>0</v>
      </c>
      <c r="AG487" t="str">
        <f t="shared" si="39"/>
        <v>MgCO₃ (s)</v>
      </c>
      <c r="AH487" t="s">
        <v>1733</v>
      </c>
      <c r="AI487" t="s">
        <v>1734</v>
      </c>
      <c r="AJ487" t="s">
        <v>1734</v>
      </c>
      <c r="AL487" t="s">
        <v>1735</v>
      </c>
      <c r="AS487" t="s">
        <v>160</v>
      </c>
      <c r="AX487" s="6">
        <v>84.32</v>
      </c>
      <c r="AY487" s="6" t="s">
        <v>1736</v>
      </c>
      <c r="AZ487" s="6">
        <v>65.7</v>
      </c>
      <c r="BA487" s="6"/>
      <c r="BB487" s="6">
        <v>-1012.1</v>
      </c>
    </row>
    <row r="488" spans="32:55">
      <c r="AF488">
        <f t="shared" si="38"/>
        <v>0</v>
      </c>
      <c r="AG488" t="str">
        <f t="shared" si="39"/>
        <v/>
      </c>
      <c r="AH488" t="s">
        <v>1737</v>
      </c>
      <c r="AI488" t="s">
        <v>1738</v>
      </c>
      <c r="AJ488" t="s">
        <v>1739</v>
      </c>
      <c r="AL488" t="s">
        <v>1740</v>
      </c>
      <c r="AS488" t="s">
        <v>220</v>
      </c>
      <c r="AX488" s="6">
        <v>196.69</v>
      </c>
      <c r="AY488" s="6" t="s">
        <v>168</v>
      </c>
      <c r="AZ488" s="6" t="s">
        <v>168</v>
      </c>
      <c r="BA488" s="6"/>
      <c r="BB488" s="6" t="s">
        <v>168</v>
      </c>
      <c r="BC488" s="6"/>
    </row>
    <row r="489" spans="32:55">
      <c r="AF489">
        <f t="shared" si="38"/>
        <v>0</v>
      </c>
      <c r="AG489" t="str">
        <f t="shared" si="39"/>
        <v>MgCl₂ (s)</v>
      </c>
      <c r="AH489" t="s">
        <v>1741</v>
      </c>
      <c r="AI489" t="s">
        <v>1742</v>
      </c>
      <c r="AJ489" t="s">
        <v>1742</v>
      </c>
      <c r="AL489" t="s">
        <v>1743</v>
      </c>
      <c r="AS489" t="s">
        <v>160</v>
      </c>
      <c r="AX489" s="6">
        <v>95.21</v>
      </c>
      <c r="AY489" s="6" t="s">
        <v>1744</v>
      </c>
      <c r="AZ489" s="6">
        <v>89.6</v>
      </c>
      <c r="BA489" s="6"/>
      <c r="BB489" s="6">
        <v>-591.79999999999995</v>
      </c>
    </row>
    <row r="490" spans="32:55">
      <c r="AF490">
        <f t="shared" si="38"/>
        <v>0</v>
      </c>
      <c r="AG490" t="str">
        <f t="shared" si="39"/>
        <v>MgCl₂∙6H₂O (s)</v>
      </c>
      <c r="AH490" t="s">
        <v>1745</v>
      </c>
      <c r="AI490" t="s">
        <v>1746</v>
      </c>
      <c r="AJ490" t="s">
        <v>1747</v>
      </c>
      <c r="AL490" t="s">
        <v>1748</v>
      </c>
      <c r="AS490" t="s">
        <v>160</v>
      </c>
      <c r="AX490" s="6">
        <v>203.3</v>
      </c>
      <c r="AY490" s="6" t="s">
        <v>1749</v>
      </c>
      <c r="AZ490" s="6">
        <v>365.9</v>
      </c>
      <c r="BA490" s="6"/>
      <c r="BB490" s="6">
        <v>-2113.6</v>
      </c>
    </row>
    <row r="491" spans="32:55">
      <c r="AF491">
        <f t="shared" si="38"/>
        <v>0</v>
      </c>
      <c r="AG491" t="str">
        <f t="shared" si="39"/>
        <v>Mg(OH)₂ (s)</v>
      </c>
      <c r="AH491" t="s">
        <v>1750</v>
      </c>
      <c r="AI491" t="s">
        <v>1751</v>
      </c>
      <c r="AJ491" t="s">
        <v>1752</v>
      </c>
      <c r="AL491" t="s">
        <v>1753</v>
      </c>
      <c r="AS491" t="s">
        <v>160</v>
      </c>
      <c r="AX491" s="6">
        <v>58.32</v>
      </c>
      <c r="AY491" s="6" t="s">
        <v>1754</v>
      </c>
      <c r="AZ491" s="6">
        <v>63.2</v>
      </c>
      <c r="BA491" s="6"/>
      <c r="BB491" s="6">
        <v>-833.5</v>
      </c>
    </row>
    <row r="492" spans="32:55">
      <c r="AF492">
        <f t="shared" si="38"/>
        <v>0</v>
      </c>
      <c r="AG492" t="str">
        <f t="shared" si="39"/>
        <v>MgI₂ (s)</v>
      </c>
      <c r="AH492" t="s">
        <v>1755</v>
      </c>
      <c r="AI492" t="s">
        <v>1756</v>
      </c>
      <c r="AJ492" t="s">
        <v>1756</v>
      </c>
      <c r="AL492" t="s">
        <v>1757</v>
      </c>
      <c r="AS492" t="s">
        <v>160</v>
      </c>
      <c r="AX492" s="6">
        <v>278.12</v>
      </c>
      <c r="AY492" s="6" t="s">
        <v>1758</v>
      </c>
      <c r="AZ492" s="6">
        <v>127.9</v>
      </c>
      <c r="BA492" s="6"/>
      <c r="BB492" s="6">
        <v>-358.2</v>
      </c>
    </row>
    <row r="493" spans="32:55">
      <c r="AF493">
        <f t="shared" si="38"/>
        <v>0</v>
      </c>
      <c r="AG493" t="str">
        <f t="shared" si="39"/>
        <v>Mg(NO₃)₂ (s)</v>
      </c>
      <c r="AH493" t="s">
        <v>1759</v>
      </c>
      <c r="AI493" t="s">
        <v>1760</v>
      </c>
      <c r="AJ493" t="s">
        <v>1761</v>
      </c>
      <c r="AL493" t="s">
        <v>1762</v>
      </c>
      <c r="AS493" t="s">
        <v>160</v>
      </c>
      <c r="AX493" s="6">
        <v>148.31</v>
      </c>
      <c r="AY493" s="6" t="s">
        <v>1763</v>
      </c>
      <c r="AZ493" s="6">
        <v>164</v>
      </c>
      <c r="BA493" s="6"/>
      <c r="BB493" s="6">
        <v>-589.4</v>
      </c>
    </row>
    <row r="494" spans="32:55">
      <c r="AF494">
        <f t="shared" si="38"/>
        <v>0</v>
      </c>
      <c r="AG494" t="str">
        <f t="shared" si="39"/>
        <v>Mg(NO₃)₂∙6H₂O (s)</v>
      </c>
      <c r="AH494" t="s">
        <v>1764</v>
      </c>
      <c r="AI494" t="s">
        <v>1765</v>
      </c>
      <c r="AJ494" t="s">
        <v>1766</v>
      </c>
      <c r="AL494" t="s">
        <v>1767</v>
      </c>
      <c r="AS494" t="s">
        <v>160</v>
      </c>
      <c r="AX494" s="6">
        <v>256.41000000000003</v>
      </c>
      <c r="AY494" s="6" t="s">
        <v>1768</v>
      </c>
      <c r="AZ494" s="6">
        <v>463</v>
      </c>
      <c r="BA494" s="6"/>
      <c r="BB494" s="6">
        <v>-2079.3000000000002</v>
      </c>
    </row>
    <row r="495" spans="32:55">
      <c r="AF495">
        <f t="shared" si="38"/>
        <v>0</v>
      </c>
      <c r="AG495" t="str">
        <f t="shared" si="39"/>
        <v>Mg₃N₂ (s)</v>
      </c>
      <c r="AH495" t="s">
        <v>1769</v>
      </c>
      <c r="AI495" t="s">
        <v>1770</v>
      </c>
      <c r="AJ495" t="s">
        <v>1770</v>
      </c>
      <c r="AL495" t="s">
        <v>1771</v>
      </c>
      <c r="AS495" t="s">
        <v>160</v>
      </c>
      <c r="AX495" s="6">
        <v>100.93</v>
      </c>
      <c r="AY495" s="6" t="s">
        <v>1772</v>
      </c>
      <c r="AZ495" s="6">
        <v>88.8</v>
      </c>
      <c r="BA495" s="6"/>
      <c r="BB495" s="6">
        <v>-406</v>
      </c>
    </row>
    <row r="496" spans="32:55">
      <c r="AF496">
        <f t="shared" si="38"/>
        <v>0</v>
      </c>
      <c r="AG496" t="str">
        <f t="shared" si="39"/>
        <v>MgO (s)</v>
      </c>
      <c r="AH496" t="s">
        <v>1773</v>
      </c>
      <c r="AI496" t="s">
        <v>1773</v>
      </c>
      <c r="AJ496" t="s">
        <v>1773</v>
      </c>
      <c r="AL496" t="s">
        <v>1774</v>
      </c>
      <c r="AS496" t="s">
        <v>160</v>
      </c>
      <c r="AX496" s="6">
        <v>40.299999999999997</v>
      </c>
      <c r="AY496" s="6" t="s">
        <v>1775</v>
      </c>
      <c r="AZ496" s="6">
        <v>26.95</v>
      </c>
      <c r="BA496" s="6"/>
      <c r="BB496" s="6">
        <v>-569.29999999999995</v>
      </c>
    </row>
    <row r="497" spans="32:55">
      <c r="AF497">
        <f t="shared" si="38"/>
        <v>0</v>
      </c>
      <c r="AG497" t="str">
        <f t="shared" si="39"/>
        <v>Mg(ClO₄)₂ (s)</v>
      </c>
      <c r="AH497" t="s">
        <v>1776</v>
      </c>
      <c r="AI497" t="s">
        <v>1777</v>
      </c>
      <c r="AJ497" t="s">
        <v>1778</v>
      </c>
      <c r="AL497" t="s">
        <v>1779</v>
      </c>
      <c r="AS497" t="s">
        <v>160</v>
      </c>
      <c r="AX497" s="6">
        <v>223.21</v>
      </c>
      <c r="AY497" s="6" t="s">
        <v>1780</v>
      </c>
      <c r="AZ497" s="6">
        <v>213</v>
      </c>
      <c r="BA497" s="6"/>
      <c r="BB497" s="6">
        <v>-432.2</v>
      </c>
    </row>
    <row r="498" spans="32:55">
      <c r="AF498">
        <f t="shared" si="38"/>
        <v>0</v>
      </c>
      <c r="AG498" t="str">
        <f t="shared" si="39"/>
        <v>Mg(ClO₄)₂∙6H₂O (s)</v>
      </c>
      <c r="AH498" t="s">
        <v>1781</v>
      </c>
      <c r="AI498" t="s">
        <v>1782</v>
      </c>
      <c r="AJ498" t="s">
        <v>1783</v>
      </c>
      <c r="AL498" t="s">
        <v>1784</v>
      </c>
      <c r="AS498" t="s">
        <v>160</v>
      </c>
      <c r="AX498" s="6">
        <v>331.3</v>
      </c>
      <c r="AY498" s="6" t="s">
        <v>1785</v>
      </c>
      <c r="AZ498" s="6">
        <v>520.6</v>
      </c>
      <c r="BA498" s="6"/>
      <c r="BB498" s="6">
        <v>-1861.7</v>
      </c>
    </row>
    <row r="499" spans="32:55">
      <c r="AF499">
        <f t="shared" si="38"/>
        <v>0</v>
      </c>
      <c r="AG499" t="str">
        <f t="shared" si="39"/>
        <v>MgSO₄ (s)</v>
      </c>
      <c r="AH499" t="s">
        <v>1786</v>
      </c>
      <c r="AI499" t="s">
        <v>1787</v>
      </c>
      <c r="AJ499" t="s">
        <v>1787</v>
      </c>
      <c r="AL499" t="s">
        <v>1788</v>
      </c>
      <c r="AS499" t="s">
        <v>160</v>
      </c>
      <c r="AX499" s="6">
        <v>120.37</v>
      </c>
      <c r="AY499" s="6" t="s">
        <v>1789</v>
      </c>
      <c r="AZ499" s="6">
        <v>91.6</v>
      </c>
      <c r="BA499" s="6"/>
      <c r="BB499" s="6">
        <v>-1170.5999999999999</v>
      </c>
    </row>
    <row r="500" spans="32:55">
      <c r="AF500">
        <f t="shared" si="38"/>
        <v>0</v>
      </c>
      <c r="AG500" t="str">
        <f t="shared" si="39"/>
        <v>MgSO₄∙7H₂O (s)</v>
      </c>
      <c r="AH500" t="s">
        <v>1790</v>
      </c>
      <c r="AI500" t="s">
        <v>1791</v>
      </c>
      <c r="AJ500" t="s">
        <v>1792</v>
      </c>
      <c r="AL500" t="s">
        <v>1793</v>
      </c>
      <c r="AS500" t="s">
        <v>160</v>
      </c>
      <c r="AX500" s="6">
        <v>246.48</v>
      </c>
      <c r="AY500" s="6" t="s">
        <v>1794</v>
      </c>
      <c r="AZ500" s="6">
        <v>372</v>
      </c>
      <c r="BA500" s="6"/>
      <c r="BB500" s="6">
        <v>-2870.1</v>
      </c>
    </row>
    <row r="501" spans="32:55">
      <c r="AF501">
        <f t="shared" si="38"/>
        <v>0</v>
      </c>
      <c r="AG501" t="str">
        <f t="shared" si="39"/>
        <v>MgS (s)</v>
      </c>
      <c r="AH501" t="s">
        <v>1795</v>
      </c>
      <c r="AI501" t="s">
        <v>1795</v>
      </c>
      <c r="AJ501" t="s">
        <v>1795</v>
      </c>
      <c r="AL501" t="s">
        <v>1796</v>
      </c>
      <c r="AS501" t="s">
        <v>160</v>
      </c>
      <c r="AX501" s="6">
        <v>56.37</v>
      </c>
      <c r="AY501" s="6" t="s">
        <v>1271</v>
      </c>
      <c r="AZ501" s="6">
        <v>50.3</v>
      </c>
      <c r="BA501" s="6"/>
      <c r="BB501" s="6">
        <v>-341.8</v>
      </c>
    </row>
    <row r="502" spans="32:55">
      <c r="AF502">
        <f t="shared" si="38"/>
        <v>0</v>
      </c>
      <c r="AG502" t="str">
        <f t="shared" si="39"/>
        <v>Mn (s)</v>
      </c>
      <c r="AH502" t="s">
        <v>1797</v>
      </c>
      <c r="AI502" t="s">
        <v>1797</v>
      </c>
      <c r="AJ502" t="s">
        <v>1797</v>
      </c>
      <c r="AL502" t="s">
        <v>1798</v>
      </c>
      <c r="AS502" t="s">
        <v>160</v>
      </c>
      <c r="AX502" s="6">
        <v>54.94</v>
      </c>
      <c r="AY502" s="6" t="s">
        <v>161</v>
      </c>
      <c r="AZ502" s="6">
        <v>32</v>
      </c>
      <c r="BA502" s="6"/>
      <c r="BB502" s="6">
        <v>0</v>
      </c>
    </row>
    <row r="503" spans="32:55">
      <c r="AF503">
        <f t="shared" si="38"/>
        <v>0</v>
      </c>
      <c r="AG503" t="str">
        <f t="shared" si="39"/>
        <v>Mn²⁺ (aq)</v>
      </c>
      <c r="AH503" t="s">
        <v>1799</v>
      </c>
      <c r="AI503" t="s">
        <v>1800</v>
      </c>
      <c r="AJ503" t="s">
        <v>1800</v>
      </c>
      <c r="AL503" t="s">
        <v>1801</v>
      </c>
      <c r="AS503" t="s">
        <v>48</v>
      </c>
      <c r="AX503" s="6">
        <v>54.94</v>
      </c>
      <c r="AY503" s="6">
        <v>-220.8</v>
      </c>
      <c r="AZ503" s="6">
        <v>-73.599999999999994</v>
      </c>
      <c r="BA503" s="6"/>
      <c r="BB503" s="6">
        <v>-228.1</v>
      </c>
      <c r="BC503" s="6"/>
    </row>
    <row r="504" spans="32:55">
      <c r="AF504">
        <f t="shared" si="38"/>
        <v>0</v>
      </c>
      <c r="AG504" t="str">
        <f t="shared" si="39"/>
        <v>Mn³⁺ (aq)</v>
      </c>
      <c r="AH504" t="s">
        <v>1802</v>
      </c>
      <c r="AI504" t="s">
        <v>1803</v>
      </c>
      <c r="AJ504" t="s">
        <v>1803</v>
      </c>
      <c r="AL504" t="s">
        <v>1804</v>
      </c>
      <c r="AS504" t="s">
        <v>48</v>
      </c>
      <c r="AX504" s="6">
        <v>54.94</v>
      </c>
      <c r="AY504" s="6" t="s">
        <v>1805</v>
      </c>
      <c r="AZ504" s="6" t="s">
        <v>168</v>
      </c>
      <c r="BA504" s="6"/>
      <c r="BB504" s="6">
        <v>-83</v>
      </c>
    </row>
    <row r="505" spans="32:55">
      <c r="AF505">
        <f t="shared" si="38"/>
        <v>0</v>
      </c>
      <c r="AG505" t="str">
        <f t="shared" si="39"/>
        <v>MnO₄⁻ (aq)</v>
      </c>
      <c r="AH505" t="s">
        <v>1806</v>
      </c>
      <c r="AI505" t="s">
        <v>1807</v>
      </c>
      <c r="AJ505" t="s">
        <v>1807</v>
      </c>
      <c r="AL505" t="s">
        <v>1808</v>
      </c>
      <c r="AS505" t="s">
        <v>48</v>
      </c>
      <c r="AX505" s="6">
        <v>118.94</v>
      </c>
      <c r="AY505" s="6" t="s">
        <v>1809</v>
      </c>
      <c r="AZ505" s="6">
        <v>191.2</v>
      </c>
      <c r="BA505" s="6"/>
      <c r="BB505" s="6">
        <v>-447.2</v>
      </c>
    </row>
    <row r="506" spans="32:55">
      <c r="AF506">
        <f t="shared" si="38"/>
        <v>0</v>
      </c>
      <c r="AG506" t="str">
        <f t="shared" si="39"/>
        <v>MnO₄²⁻ (aq)</v>
      </c>
      <c r="AH506" t="s">
        <v>1810</v>
      </c>
      <c r="AI506" t="s">
        <v>1811</v>
      </c>
      <c r="AJ506" t="s">
        <v>1811</v>
      </c>
      <c r="AL506" t="s">
        <v>1812</v>
      </c>
      <c r="AS506" t="s">
        <v>48</v>
      </c>
      <c r="AX506" s="6">
        <v>118.94</v>
      </c>
      <c r="AY506" s="6" t="s">
        <v>289</v>
      </c>
      <c r="AZ506" s="6">
        <v>59</v>
      </c>
      <c r="BA506" s="6"/>
      <c r="BB506" s="6">
        <v>-500.7</v>
      </c>
    </row>
    <row r="507" spans="32:55">
      <c r="AF507">
        <f t="shared" si="38"/>
        <v>0</v>
      </c>
      <c r="AG507" t="str">
        <f t="shared" si="39"/>
        <v>MnCO₃ (s)</v>
      </c>
      <c r="AH507" t="s">
        <v>1813</v>
      </c>
      <c r="AI507" t="s">
        <v>1814</v>
      </c>
      <c r="AJ507" t="s">
        <v>1814</v>
      </c>
      <c r="AL507" t="s">
        <v>1815</v>
      </c>
      <c r="AS507" t="s">
        <v>160</v>
      </c>
      <c r="AX507" s="6">
        <v>114.95</v>
      </c>
      <c r="AY507" s="6" t="s">
        <v>1816</v>
      </c>
      <c r="AZ507" s="6">
        <v>85.8</v>
      </c>
      <c r="BA507" s="6"/>
      <c r="BB507" s="6">
        <v>-816.7</v>
      </c>
    </row>
    <row r="508" spans="32:55">
      <c r="AF508">
        <f t="shared" si="38"/>
        <v>0</v>
      </c>
      <c r="AG508" t="str">
        <f t="shared" si="39"/>
        <v>MnCl₂∙4H₂O (s)</v>
      </c>
      <c r="AH508" t="s">
        <v>1817</v>
      </c>
      <c r="AI508" t="s">
        <v>1818</v>
      </c>
      <c r="AJ508" t="s">
        <v>1819</v>
      </c>
      <c r="AL508" t="s">
        <v>1820</v>
      </c>
      <c r="AS508" t="s">
        <v>160</v>
      </c>
      <c r="AX508" s="6">
        <v>197.91</v>
      </c>
      <c r="AY508" s="6" t="s">
        <v>1821</v>
      </c>
      <c r="AZ508" s="6">
        <v>303</v>
      </c>
      <c r="BA508" s="6"/>
      <c r="BB508" s="6">
        <v>-1424</v>
      </c>
    </row>
    <row r="509" spans="32:55">
      <c r="AF509">
        <f t="shared" si="38"/>
        <v>0</v>
      </c>
      <c r="AG509" t="str">
        <f t="shared" si="39"/>
        <v>MnO(OH) (s)</v>
      </c>
      <c r="AH509" t="s">
        <v>1822</v>
      </c>
      <c r="AI509" t="s">
        <v>1822</v>
      </c>
      <c r="AJ509" t="s">
        <v>1823</v>
      </c>
      <c r="AK509" t="s">
        <v>1824</v>
      </c>
      <c r="AL509" t="s">
        <v>1825</v>
      </c>
      <c r="AS509" t="s">
        <v>160</v>
      </c>
      <c r="AX509" s="6">
        <v>87.94</v>
      </c>
      <c r="AY509" s="6" t="s">
        <v>1826</v>
      </c>
      <c r="AZ509" s="6" t="s">
        <v>168</v>
      </c>
      <c r="BA509" s="6"/>
      <c r="BB509" s="6" t="s">
        <v>168</v>
      </c>
      <c r="BC509" s="6"/>
    </row>
    <row r="510" spans="32:55">
      <c r="AF510">
        <f t="shared" si="38"/>
        <v>0</v>
      </c>
      <c r="AG510" t="str">
        <f t="shared" si="39"/>
        <v>Mn(OH)₂ (s)</v>
      </c>
      <c r="AH510" t="s">
        <v>1827</v>
      </c>
      <c r="AI510" t="s">
        <v>1828</v>
      </c>
      <c r="AJ510" t="s">
        <v>1829</v>
      </c>
      <c r="AL510" t="s">
        <v>1830</v>
      </c>
      <c r="AS510" t="s">
        <v>160</v>
      </c>
      <c r="AX510" s="6">
        <v>88.95</v>
      </c>
      <c r="AY510" s="6" t="s">
        <v>1831</v>
      </c>
      <c r="AZ510" s="6">
        <v>99.2</v>
      </c>
      <c r="BA510" s="6"/>
      <c r="BB510" s="6">
        <v>-615</v>
      </c>
    </row>
    <row r="511" spans="32:55">
      <c r="AF511">
        <f t="shared" si="38"/>
        <v>0</v>
      </c>
      <c r="AG511" t="str">
        <f t="shared" si="39"/>
        <v>Mn₃O₄ (s)</v>
      </c>
      <c r="AH511" t="s">
        <v>1832</v>
      </c>
      <c r="AI511" t="s">
        <v>1833</v>
      </c>
      <c r="AJ511" t="s">
        <v>1833</v>
      </c>
      <c r="AL511" t="s">
        <v>1834</v>
      </c>
      <c r="AS511" t="s">
        <v>160</v>
      </c>
      <c r="AX511" s="6">
        <v>228.81</v>
      </c>
      <c r="AY511" s="6" t="s">
        <v>1835</v>
      </c>
      <c r="AZ511" s="6">
        <v>155.6</v>
      </c>
      <c r="BA511" s="6"/>
      <c r="BB511" s="6">
        <v>-1283.2</v>
      </c>
    </row>
    <row r="512" spans="32:55">
      <c r="AF512">
        <f t="shared" si="38"/>
        <v>0</v>
      </c>
      <c r="AG512" t="str">
        <f t="shared" si="39"/>
        <v>MnO (s)</v>
      </c>
      <c r="AH512" t="s">
        <v>1836</v>
      </c>
      <c r="AI512" t="s">
        <v>1836</v>
      </c>
      <c r="AJ512" t="s">
        <v>1836</v>
      </c>
      <c r="AL512" t="s">
        <v>1837</v>
      </c>
      <c r="AS512" t="s">
        <v>160</v>
      </c>
      <c r="AX512" s="6">
        <v>70.94</v>
      </c>
      <c r="AY512" s="6" t="s">
        <v>1838</v>
      </c>
      <c r="AZ512" s="6">
        <v>59.71</v>
      </c>
      <c r="BA512" s="6"/>
      <c r="BB512" s="6">
        <v>-362.9</v>
      </c>
    </row>
    <row r="513" spans="32:55">
      <c r="AF513">
        <f t="shared" si="38"/>
        <v>0</v>
      </c>
      <c r="AG513" t="str">
        <f t="shared" si="39"/>
        <v>Mn₂O₃ (s)</v>
      </c>
      <c r="AH513" t="s">
        <v>1839</v>
      </c>
      <c r="AI513" t="s">
        <v>1840</v>
      </c>
      <c r="AJ513" t="s">
        <v>1840</v>
      </c>
      <c r="AL513" t="s">
        <v>1841</v>
      </c>
      <c r="AS513" t="s">
        <v>160</v>
      </c>
      <c r="AX513" s="6">
        <v>157.87</v>
      </c>
      <c r="AY513" s="6" t="s">
        <v>1842</v>
      </c>
      <c r="AZ513" s="6">
        <v>110.5</v>
      </c>
      <c r="BA513" s="6"/>
      <c r="BB513" s="6">
        <v>-881.1</v>
      </c>
    </row>
    <row r="514" spans="32:55">
      <c r="AF514">
        <f t="shared" si="38"/>
        <v>0</v>
      </c>
      <c r="AG514" t="str">
        <f t="shared" si="39"/>
        <v>MnO₂ (s)</v>
      </c>
      <c r="AH514" t="s">
        <v>1843</v>
      </c>
      <c r="AI514" t="s">
        <v>1844</v>
      </c>
      <c r="AJ514" t="s">
        <v>1844</v>
      </c>
      <c r="AK514" t="s">
        <v>1845</v>
      </c>
      <c r="AL514" t="s">
        <v>1846</v>
      </c>
      <c r="AS514" t="s">
        <v>160</v>
      </c>
      <c r="AX514" s="6">
        <v>86.94</v>
      </c>
      <c r="AY514" s="6" t="s">
        <v>1847</v>
      </c>
      <c r="AZ514" s="6">
        <v>53.1</v>
      </c>
      <c r="BA514" s="6"/>
      <c r="BB514" s="6">
        <v>-465.1</v>
      </c>
    </row>
    <row r="515" spans="32:55">
      <c r="AF515">
        <f t="shared" ref="AF515:AF578" si="40">IF(OR(AG515="",COUNTIF(AG:AG, AG515) = 1),0, "1")</f>
        <v>0</v>
      </c>
      <c r="AG515" t="str">
        <f t="shared" ref="AG515:AG578" si="41">IF(AS515 &lt;&gt; "",AH515&amp;" ("&amp;AS515 &amp;")","")</f>
        <v>MnSO₄ (s)</v>
      </c>
      <c r="AH515" t="s">
        <v>1848</v>
      </c>
      <c r="AI515" t="s">
        <v>1849</v>
      </c>
      <c r="AJ515" t="s">
        <v>1849</v>
      </c>
      <c r="AL515" t="s">
        <v>1850</v>
      </c>
      <c r="AS515" t="s">
        <v>160</v>
      </c>
      <c r="AX515" s="6">
        <v>151</v>
      </c>
      <c r="AY515" s="6" t="s">
        <v>1851</v>
      </c>
      <c r="AZ515" s="6">
        <v>112.1</v>
      </c>
      <c r="BA515" s="6"/>
      <c r="BB515" s="6">
        <v>-957.29</v>
      </c>
    </row>
    <row r="516" spans="32:55">
      <c r="AF516">
        <f t="shared" si="40"/>
        <v>0</v>
      </c>
      <c r="AG516" t="str">
        <f t="shared" si="41"/>
        <v>MnSO₄∙7H₂O (s)</v>
      </c>
      <c r="AH516" t="s">
        <v>1852</v>
      </c>
      <c r="AI516" t="s">
        <v>1853</v>
      </c>
      <c r="AJ516" t="s">
        <v>1854</v>
      </c>
      <c r="AL516" t="s">
        <v>1855</v>
      </c>
      <c r="AS516" t="s">
        <v>160</v>
      </c>
      <c r="AX516" s="6">
        <v>277.11</v>
      </c>
      <c r="AY516" s="6" t="s">
        <v>1856</v>
      </c>
      <c r="AZ516" s="6" t="s">
        <v>168</v>
      </c>
      <c r="BA516" s="6"/>
      <c r="BB516" s="6" t="s">
        <v>168</v>
      </c>
      <c r="BC516" s="6"/>
    </row>
    <row r="517" spans="32:55">
      <c r="AF517">
        <f t="shared" si="40"/>
        <v>0</v>
      </c>
      <c r="AG517" t="str">
        <f t="shared" si="41"/>
        <v>MnS (s)</v>
      </c>
      <c r="AH517" t="s">
        <v>1857</v>
      </c>
      <c r="AI517" t="s">
        <v>1857</v>
      </c>
      <c r="AJ517" t="s">
        <v>1857</v>
      </c>
      <c r="AL517" t="s">
        <v>1858</v>
      </c>
      <c r="AS517" t="s">
        <v>160</v>
      </c>
      <c r="AX517" s="6">
        <v>87</v>
      </c>
      <c r="AY517" s="6" t="s">
        <v>1859</v>
      </c>
      <c r="AZ517" s="6">
        <v>78.2</v>
      </c>
      <c r="BA517" s="6"/>
      <c r="BB517" s="6">
        <v>-218.4</v>
      </c>
    </row>
    <row r="518" spans="32:55">
      <c r="AF518">
        <f t="shared" si="40"/>
        <v>0</v>
      </c>
      <c r="AG518" t="str">
        <f t="shared" si="41"/>
        <v>Mn₂(CO)₁₀ (s)</v>
      </c>
      <c r="AH518" t="s">
        <v>1860</v>
      </c>
      <c r="AI518" t="s">
        <v>1861</v>
      </c>
      <c r="AJ518" t="s">
        <v>1862</v>
      </c>
      <c r="AL518" t="s">
        <v>1863</v>
      </c>
      <c r="AS518" t="s">
        <v>160</v>
      </c>
      <c r="AX518" s="6">
        <v>389.99</v>
      </c>
      <c r="AY518" s="6" t="s">
        <v>1864</v>
      </c>
      <c r="AZ518" s="6" t="s">
        <v>168</v>
      </c>
      <c r="BA518" s="6"/>
      <c r="BB518" s="6" t="s">
        <v>168</v>
      </c>
      <c r="BC518" s="6"/>
    </row>
    <row r="519" spans="32:55">
      <c r="AF519">
        <f t="shared" si="40"/>
        <v>0</v>
      </c>
      <c r="AG519" t="str">
        <f t="shared" si="41"/>
        <v>Mo (s)</v>
      </c>
      <c r="AH519" t="s">
        <v>1865</v>
      </c>
      <c r="AI519" t="s">
        <v>1865</v>
      </c>
      <c r="AJ519" t="s">
        <v>1865</v>
      </c>
      <c r="AL519" t="s">
        <v>1866</v>
      </c>
      <c r="AS519" t="s">
        <v>160</v>
      </c>
      <c r="AX519" s="6">
        <v>95.94</v>
      </c>
      <c r="AY519" s="6" t="s">
        <v>161</v>
      </c>
      <c r="AZ519" s="6">
        <v>28.7</v>
      </c>
      <c r="BA519" s="6"/>
      <c r="BB519" s="6">
        <v>0</v>
      </c>
    </row>
    <row r="520" spans="32:55">
      <c r="AF520">
        <f t="shared" si="40"/>
        <v>0</v>
      </c>
      <c r="AG520" t="str">
        <f t="shared" si="41"/>
        <v>Mo(OH)₃ (s)</v>
      </c>
      <c r="AH520" t="s">
        <v>1867</v>
      </c>
      <c r="AI520" t="s">
        <v>1868</v>
      </c>
      <c r="AJ520" t="s">
        <v>1869</v>
      </c>
      <c r="AL520" t="s">
        <v>1870</v>
      </c>
      <c r="AS520" t="s">
        <v>160</v>
      </c>
      <c r="AX520" s="6">
        <v>146.94</v>
      </c>
      <c r="AY520" s="6" t="s">
        <v>168</v>
      </c>
      <c r="AZ520" s="6" t="s">
        <v>168</v>
      </c>
      <c r="BA520" s="6"/>
      <c r="BB520" s="6" t="s">
        <v>168</v>
      </c>
      <c r="BC520" s="6"/>
    </row>
    <row r="521" spans="32:55">
      <c r="AF521">
        <f t="shared" si="40"/>
        <v>0</v>
      </c>
      <c r="AG521" t="str">
        <f t="shared" si="41"/>
        <v>MoO₂ (s)</v>
      </c>
      <c r="AH521" t="s">
        <v>1871</v>
      </c>
      <c r="AI521" t="s">
        <v>1872</v>
      </c>
      <c r="AJ521" t="s">
        <v>1872</v>
      </c>
      <c r="AL521" t="s">
        <v>1873</v>
      </c>
      <c r="AS521" t="s">
        <v>160</v>
      </c>
      <c r="AX521" s="6">
        <v>127.94</v>
      </c>
      <c r="AY521" s="6" t="s">
        <v>1874</v>
      </c>
      <c r="AZ521" s="6">
        <v>46.3</v>
      </c>
      <c r="BA521" s="6"/>
      <c r="BB521" s="6">
        <v>533</v>
      </c>
    </row>
    <row r="522" spans="32:55">
      <c r="AF522">
        <f t="shared" si="40"/>
        <v>0</v>
      </c>
      <c r="AG522" t="str">
        <f t="shared" si="41"/>
        <v>MoO₃ (s)</v>
      </c>
      <c r="AH522" t="s">
        <v>1875</v>
      </c>
      <c r="AI522" t="s">
        <v>1876</v>
      </c>
      <c r="AJ522" t="s">
        <v>1876</v>
      </c>
      <c r="AL522" t="s">
        <v>1877</v>
      </c>
      <c r="AS522" t="s">
        <v>160</v>
      </c>
      <c r="AX522" s="6">
        <v>143.94</v>
      </c>
      <c r="AY522" s="6" t="s">
        <v>1878</v>
      </c>
      <c r="AZ522" s="6">
        <v>77.7</v>
      </c>
      <c r="BA522" s="6"/>
      <c r="BB522" s="6">
        <v>-668</v>
      </c>
    </row>
    <row r="523" spans="32:55">
      <c r="AF523">
        <f t="shared" si="40"/>
        <v>0</v>
      </c>
      <c r="AG523" t="str">
        <f t="shared" si="41"/>
        <v>H₂MoO₄∙H₂O (s)</v>
      </c>
      <c r="AH523" t="s">
        <v>1879</v>
      </c>
      <c r="AI523" t="s">
        <v>1880</v>
      </c>
      <c r="AJ523" t="s">
        <v>1881</v>
      </c>
      <c r="AL523" t="s">
        <v>1882</v>
      </c>
      <c r="AS523" t="s">
        <v>160</v>
      </c>
      <c r="AX523" s="6">
        <v>179.97</v>
      </c>
      <c r="AY523" s="6" t="s">
        <v>1883</v>
      </c>
      <c r="AZ523" s="6" t="s">
        <v>168</v>
      </c>
      <c r="BA523" s="6"/>
      <c r="BB523" s="6" t="s">
        <v>168</v>
      </c>
      <c r="BC523" s="6"/>
    </row>
    <row r="524" spans="32:55">
      <c r="AF524">
        <f t="shared" si="40"/>
        <v>0</v>
      </c>
      <c r="AG524" t="str">
        <f t="shared" si="41"/>
        <v>MoO₄²⁻ (aq)</v>
      </c>
      <c r="AH524" t="s">
        <v>1884</v>
      </c>
      <c r="AI524" t="s">
        <v>1885</v>
      </c>
      <c r="AJ524" t="s">
        <v>1885</v>
      </c>
      <c r="AL524" t="s">
        <v>1886</v>
      </c>
      <c r="AS524" t="s">
        <v>48</v>
      </c>
      <c r="AX524" s="6">
        <v>159.94</v>
      </c>
      <c r="AY524" s="6" t="s">
        <v>1887</v>
      </c>
      <c r="AZ524" s="6">
        <v>27.2</v>
      </c>
      <c r="BA524" s="6"/>
      <c r="BB524" s="6">
        <v>-836.3</v>
      </c>
    </row>
    <row r="525" spans="32:55">
      <c r="AF525">
        <f t="shared" si="40"/>
        <v>0</v>
      </c>
      <c r="AG525" t="str">
        <f t="shared" si="41"/>
        <v>Mo(CO)₆ (s)</v>
      </c>
      <c r="AH525" t="s">
        <v>1888</v>
      </c>
      <c r="AI525" t="s">
        <v>1889</v>
      </c>
      <c r="AJ525" t="s">
        <v>1890</v>
      </c>
      <c r="AL525" t="s">
        <v>1891</v>
      </c>
      <c r="AS525" t="s">
        <v>160</v>
      </c>
      <c r="AX525" s="6">
        <v>264</v>
      </c>
      <c r="AY525" s="6" t="s">
        <v>1892</v>
      </c>
      <c r="AZ525" s="6">
        <v>326.3</v>
      </c>
      <c r="BA525" s="6"/>
      <c r="BB525" s="6">
        <v>-884.8</v>
      </c>
    </row>
    <row r="526" spans="32:55">
      <c r="AF526">
        <f t="shared" si="40"/>
        <v>0</v>
      </c>
      <c r="AG526" t="str">
        <f t="shared" si="41"/>
        <v>Na (s)</v>
      </c>
      <c r="AH526" t="s">
        <v>1893</v>
      </c>
      <c r="AI526" t="s">
        <v>1893</v>
      </c>
      <c r="AJ526" t="s">
        <v>1893</v>
      </c>
      <c r="AL526" t="s">
        <v>1894</v>
      </c>
      <c r="AS526" t="s">
        <v>160</v>
      </c>
      <c r="AX526" s="6">
        <v>22.99</v>
      </c>
      <c r="AY526" s="6" t="s">
        <v>161</v>
      </c>
      <c r="AZ526" s="6">
        <v>51.3</v>
      </c>
      <c r="BA526" s="6"/>
      <c r="BB526" s="6">
        <v>0</v>
      </c>
    </row>
    <row r="527" spans="32:55">
      <c r="AF527">
        <f t="shared" si="40"/>
        <v>0</v>
      </c>
      <c r="AG527" t="str">
        <f t="shared" si="41"/>
        <v>Na⁺ (g)</v>
      </c>
      <c r="AH527" t="s">
        <v>1895</v>
      </c>
      <c r="AI527" t="s">
        <v>1896</v>
      </c>
      <c r="AJ527" t="s">
        <v>1896</v>
      </c>
      <c r="AK527" t="s">
        <v>1897</v>
      </c>
      <c r="AL527" t="s">
        <v>1898</v>
      </c>
      <c r="AS527" t="s">
        <v>47</v>
      </c>
      <c r="AX527" s="6">
        <v>22.99</v>
      </c>
      <c r="AY527" s="6" t="s">
        <v>1899</v>
      </c>
      <c r="AZ527" s="6">
        <v>147.96</v>
      </c>
      <c r="BA527" s="6"/>
      <c r="BB527" s="6">
        <v>574.88</v>
      </c>
    </row>
    <row r="528" spans="32:55">
      <c r="AF528">
        <f t="shared" si="40"/>
        <v>0</v>
      </c>
      <c r="AG528" t="str">
        <f t="shared" si="41"/>
        <v>Na⁺ (aq)</v>
      </c>
      <c r="AH528" t="s">
        <v>1895</v>
      </c>
      <c r="AI528" t="s">
        <v>1896</v>
      </c>
      <c r="AJ528" t="s">
        <v>1896</v>
      </c>
      <c r="AL528" t="s">
        <v>1898</v>
      </c>
      <c r="AS528" t="s">
        <v>48</v>
      </c>
      <c r="AX528" s="6">
        <v>22.99</v>
      </c>
      <c r="AY528" s="6" t="s">
        <v>1900</v>
      </c>
      <c r="AZ528" s="6">
        <v>58.45</v>
      </c>
      <c r="BA528" s="6"/>
      <c r="BB528" s="6">
        <v>-261.89999999999998</v>
      </c>
    </row>
    <row r="529" spans="32:55">
      <c r="AF529">
        <f t="shared" si="40"/>
        <v>0</v>
      </c>
      <c r="AG529" t="str">
        <f t="shared" si="41"/>
        <v>CH₃COONa∙3H₂O (s)</v>
      </c>
      <c r="AH529" t="s">
        <v>1901</v>
      </c>
      <c r="AI529" t="s">
        <v>1902</v>
      </c>
      <c r="AJ529" t="s">
        <v>1903</v>
      </c>
      <c r="AK529" t="s">
        <v>1904</v>
      </c>
      <c r="AL529" t="s">
        <v>1905</v>
      </c>
      <c r="AS529" t="s">
        <v>160</v>
      </c>
      <c r="AX529" s="6">
        <v>136.08000000000001</v>
      </c>
      <c r="AY529" s="6" t="s">
        <v>1906</v>
      </c>
      <c r="AZ529" s="6">
        <v>243</v>
      </c>
      <c r="BA529" s="6"/>
      <c r="BB529" s="6">
        <v>-1329</v>
      </c>
    </row>
    <row r="530" spans="32:55">
      <c r="AF530">
        <f t="shared" si="40"/>
        <v>0</v>
      </c>
      <c r="AG530" t="str">
        <f t="shared" si="41"/>
        <v>NaHg₂ (s)</v>
      </c>
      <c r="AH530" t="s">
        <v>1907</v>
      </c>
      <c r="AI530" t="s">
        <v>1908</v>
      </c>
      <c r="AJ530" t="s">
        <v>1908</v>
      </c>
      <c r="AL530" t="s">
        <v>1909</v>
      </c>
      <c r="AS530" t="s">
        <v>160</v>
      </c>
      <c r="AX530" s="6">
        <v>424.17</v>
      </c>
      <c r="AY530" s="6" t="s">
        <v>1910</v>
      </c>
      <c r="AZ530" s="6">
        <v>176</v>
      </c>
      <c r="BA530" s="6"/>
      <c r="BB530" s="6">
        <v>-67.8</v>
      </c>
    </row>
    <row r="531" spans="32:55">
      <c r="AF531">
        <f t="shared" si="40"/>
        <v>0</v>
      </c>
      <c r="AG531" t="str">
        <f t="shared" si="41"/>
        <v>NaNH₂ (s)</v>
      </c>
      <c r="AH531" t="s">
        <v>1911</v>
      </c>
      <c r="AI531" t="s">
        <v>1912</v>
      </c>
      <c r="AJ531" t="s">
        <v>1912</v>
      </c>
      <c r="AL531" t="s">
        <v>1913</v>
      </c>
      <c r="AS531" t="s">
        <v>160</v>
      </c>
      <c r="AX531" s="6">
        <v>39.01</v>
      </c>
      <c r="AY531" s="6" t="s">
        <v>1914</v>
      </c>
      <c r="AZ531" s="6">
        <v>76.900000000000006</v>
      </c>
      <c r="BA531" s="6"/>
      <c r="BB531" s="6">
        <v>-64</v>
      </c>
    </row>
    <row r="532" spans="32:55">
      <c r="AF532">
        <f t="shared" si="40"/>
        <v>0</v>
      </c>
      <c r="AG532" t="str">
        <f t="shared" si="41"/>
        <v>Na₃AsO₄∙12H₂O (s)</v>
      </c>
      <c r="AH532" t="s">
        <v>1915</v>
      </c>
      <c r="AI532" t="s">
        <v>1916</v>
      </c>
      <c r="AJ532" t="s">
        <v>1917</v>
      </c>
      <c r="AL532" t="s">
        <v>1918</v>
      </c>
      <c r="AS532" t="s">
        <v>160</v>
      </c>
      <c r="AX532" s="6">
        <v>424.07</v>
      </c>
      <c r="AY532" s="6" t="s">
        <v>1919</v>
      </c>
      <c r="AZ532" s="6" t="s">
        <v>168</v>
      </c>
      <c r="BA532" s="6"/>
      <c r="BB532" s="6" t="s">
        <v>168</v>
      </c>
      <c r="BC532" s="6"/>
    </row>
    <row r="533" spans="32:55">
      <c r="AF533">
        <f t="shared" si="40"/>
        <v>0</v>
      </c>
      <c r="AG533" t="str">
        <f t="shared" si="41"/>
        <v>NaAsO₂ (s)</v>
      </c>
      <c r="AH533" t="s">
        <v>1920</v>
      </c>
      <c r="AI533" t="s">
        <v>1921</v>
      </c>
      <c r="AJ533" t="s">
        <v>1921</v>
      </c>
      <c r="AL533" t="s">
        <v>1922</v>
      </c>
      <c r="AS533" t="s">
        <v>160</v>
      </c>
      <c r="AX533" s="6">
        <v>129.91</v>
      </c>
      <c r="AY533" s="6" t="s">
        <v>1923</v>
      </c>
      <c r="AZ533" s="6" t="s">
        <v>168</v>
      </c>
      <c r="BA533" s="6"/>
      <c r="BB533" s="6" t="s">
        <v>168</v>
      </c>
      <c r="BC533" s="6"/>
    </row>
    <row r="534" spans="32:55">
      <c r="AF534">
        <f t="shared" si="40"/>
        <v>0</v>
      </c>
      <c r="AG534" t="str">
        <f t="shared" si="41"/>
        <v>NaN₃ (s)</v>
      </c>
      <c r="AH534" t="s">
        <v>1924</v>
      </c>
      <c r="AI534" t="s">
        <v>1925</v>
      </c>
      <c r="AJ534" t="s">
        <v>1925</v>
      </c>
      <c r="AL534" t="s">
        <v>1926</v>
      </c>
      <c r="AS534" t="s">
        <v>160</v>
      </c>
      <c r="AX534" s="6">
        <v>65.010000000000005</v>
      </c>
      <c r="AY534" s="6" t="s">
        <v>1927</v>
      </c>
      <c r="AZ534" s="6">
        <v>96.9</v>
      </c>
      <c r="BA534" s="6"/>
      <c r="BB534" s="6">
        <v>93.8</v>
      </c>
    </row>
    <row r="535" spans="32:55">
      <c r="AF535">
        <f t="shared" si="40"/>
        <v>0</v>
      </c>
      <c r="AG535" t="str">
        <f t="shared" si="41"/>
        <v>C₆H₅-COONa (s)</v>
      </c>
      <c r="AH535" t="s">
        <v>1928</v>
      </c>
      <c r="AI535" t="s">
        <v>1929</v>
      </c>
      <c r="AJ535" t="s">
        <v>1929</v>
      </c>
      <c r="AL535" t="s">
        <v>1930</v>
      </c>
      <c r="AS535" t="s">
        <v>160</v>
      </c>
      <c r="AX535" s="6">
        <v>144.11000000000001</v>
      </c>
      <c r="AY535" s="6" t="s">
        <v>168</v>
      </c>
      <c r="AZ535" s="6" t="s">
        <v>168</v>
      </c>
      <c r="BA535" s="6"/>
      <c r="BB535" s="6" t="s">
        <v>168</v>
      </c>
      <c r="BC535" s="6"/>
    </row>
    <row r="536" spans="32:55">
      <c r="AF536">
        <f t="shared" si="40"/>
        <v>0</v>
      </c>
      <c r="AG536" t="str">
        <f t="shared" si="41"/>
        <v>Na₂B₄O₇ (s)</v>
      </c>
      <c r="AH536" t="s">
        <v>1931</v>
      </c>
      <c r="AI536" t="s">
        <v>1932</v>
      </c>
      <c r="AJ536" t="s">
        <v>1932</v>
      </c>
      <c r="AL536" t="s">
        <v>1933</v>
      </c>
      <c r="AS536" t="s">
        <v>160</v>
      </c>
      <c r="AX536" s="6">
        <v>201.22</v>
      </c>
      <c r="AY536" s="6" t="s">
        <v>1934</v>
      </c>
      <c r="AZ536" s="6">
        <v>189.5</v>
      </c>
      <c r="BA536" s="6"/>
      <c r="BB536" s="6">
        <v>-3096</v>
      </c>
    </row>
    <row r="537" spans="32:55">
      <c r="AF537">
        <f t="shared" si="40"/>
        <v>0</v>
      </c>
      <c r="AG537" t="str">
        <f t="shared" si="41"/>
        <v>Na₂B₄O₇∙10H₂O (s)</v>
      </c>
      <c r="AH537" t="s">
        <v>1935</v>
      </c>
      <c r="AI537" t="s">
        <v>1936</v>
      </c>
      <c r="AJ537" t="s">
        <v>1937</v>
      </c>
      <c r="AL537" t="s">
        <v>1938</v>
      </c>
      <c r="AS537" t="s">
        <v>160</v>
      </c>
      <c r="AX537" s="6">
        <v>381.37</v>
      </c>
      <c r="AY537" s="6" t="s">
        <v>1939</v>
      </c>
      <c r="AZ537" s="6">
        <v>585.79999999999995</v>
      </c>
      <c r="BA537" s="6"/>
      <c r="BB537" s="6">
        <v>-5516.6</v>
      </c>
    </row>
    <row r="538" spans="32:55">
      <c r="AF538">
        <f t="shared" si="40"/>
        <v>0</v>
      </c>
      <c r="AG538" t="str">
        <f t="shared" si="41"/>
        <v>NaBH₄ (s)</v>
      </c>
      <c r="AH538" t="s">
        <v>1940</v>
      </c>
      <c r="AI538" t="s">
        <v>1941</v>
      </c>
      <c r="AJ538" t="s">
        <v>1941</v>
      </c>
      <c r="AL538" t="s">
        <v>1942</v>
      </c>
      <c r="AS538" t="s">
        <v>160</v>
      </c>
      <c r="AX538" s="6">
        <v>37.83</v>
      </c>
      <c r="AY538" s="6" t="s">
        <v>1943</v>
      </c>
      <c r="AZ538" s="6">
        <v>101.3</v>
      </c>
      <c r="BA538" s="6"/>
      <c r="BB538" s="6">
        <v>-123.9</v>
      </c>
    </row>
    <row r="539" spans="32:55">
      <c r="AF539">
        <f t="shared" si="40"/>
        <v>0</v>
      </c>
      <c r="AG539" t="str">
        <f t="shared" si="41"/>
        <v>NaBr (s)</v>
      </c>
      <c r="AH539" t="s">
        <v>1944</v>
      </c>
      <c r="AI539" t="s">
        <v>1944</v>
      </c>
      <c r="AJ539" t="s">
        <v>1944</v>
      </c>
      <c r="AL539" t="s">
        <v>1945</v>
      </c>
      <c r="AS539" t="s">
        <v>160</v>
      </c>
      <c r="AX539" s="6">
        <v>102.89</v>
      </c>
      <c r="AY539" s="6" t="s">
        <v>1946</v>
      </c>
      <c r="AZ539" s="6">
        <v>86.8</v>
      </c>
      <c r="BA539" s="6"/>
      <c r="BB539" s="6">
        <v>-349</v>
      </c>
    </row>
    <row r="540" spans="32:55">
      <c r="AF540">
        <f t="shared" si="40"/>
        <v>0</v>
      </c>
      <c r="AG540" t="str">
        <f t="shared" si="41"/>
        <v>NaBr∙2H₂O (s)</v>
      </c>
      <c r="AH540" t="s">
        <v>1947</v>
      </c>
      <c r="AI540" t="s">
        <v>1948</v>
      </c>
      <c r="AJ540" t="s">
        <v>1949</v>
      </c>
      <c r="AL540" t="s">
        <v>1950</v>
      </c>
      <c r="AS540" t="s">
        <v>160</v>
      </c>
      <c r="AX540" s="6">
        <v>138.93</v>
      </c>
      <c r="AY540" s="6" t="s">
        <v>1951</v>
      </c>
      <c r="AZ540" s="6">
        <v>179.1</v>
      </c>
      <c r="BA540" s="6"/>
      <c r="BB540" s="6">
        <v>-828.4</v>
      </c>
    </row>
    <row r="541" spans="32:55">
      <c r="AF541">
        <f t="shared" si="40"/>
        <v>0</v>
      </c>
      <c r="AG541" t="str">
        <f t="shared" si="41"/>
        <v>NaBrO₃ (s)</v>
      </c>
      <c r="AH541" t="s">
        <v>1952</v>
      </c>
      <c r="AI541" t="s">
        <v>1953</v>
      </c>
      <c r="AJ541" t="s">
        <v>1953</v>
      </c>
      <c r="AL541" t="s">
        <v>1954</v>
      </c>
      <c r="AS541" t="s">
        <v>160</v>
      </c>
      <c r="AX541" s="6">
        <v>150.88999999999999</v>
      </c>
      <c r="AY541" s="6" t="s">
        <v>1955</v>
      </c>
      <c r="AZ541" s="6">
        <v>128.9</v>
      </c>
      <c r="BA541" s="6"/>
      <c r="BB541" s="6">
        <v>-242.6</v>
      </c>
    </row>
    <row r="542" spans="32:55">
      <c r="AF542">
        <f t="shared" si="40"/>
        <v>0</v>
      </c>
      <c r="AG542" t="str">
        <f t="shared" si="41"/>
        <v>Na₂CO₃ (s)</v>
      </c>
      <c r="AH542" t="s">
        <v>1956</v>
      </c>
      <c r="AI542" t="s">
        <v>1957</v>
      </c>
      <c r="AJ542" t="s">
        <v>1957</v>
      </c>
      <c r="AK542" t="s">
        <v>1958</v>
      </c>
      <c r="AL542" t="s">
        <v>1959</v>
      </c>
      <c r="AS542" t="s">
        <v>160</v>
      </c>
      <c r="AX542" s="6">
        <v>105.99</v>
      </c>
      <c r="AY542" s="6" t="s">
        <v>1960</v>
      </c>
      <c r="AZ542" s="6">
        <v>135</v>
      </c>
      <c r="BA542" s="6"/>
      <c r="BB542" s="6">
        <v>-1044.4000000000001</v>
      </c>
    </row>
    <row r="543" spans="32:55">
      <c r="AF543">
        <f t="shared" si="40"/>
        <v>0</v>
      </c>
      <c r="AG543" t="str">
        <f t="shared" si="41"/>
        <v>Na₂CO₃∙10H₂O (s)</v>
      </c>
      <c r="AH543" t="s">
        <v>1961</v>
      </c>
      <c r="AI543" t="s">
        <v>1962</v>
      </c>
      <c r="AJ543" t="s">
        <v>1963</v>
      </c>
      <c r="AK543" t="s">
        <v>1964</v>
      </c>
      <c r="AL543" t="s">
        <v>1965</v>
      </c>
      <c r="AS543" t="s">
        <v>160</v>
      </c>
      <c r="AX543" s="6">
        <v>286.14</v>
      </c>
      <c r="AY543" s="6" t="s">
        <v>1966</v>
      </c>
      <c r="AZ543" s="6">
        <v>564</v>
      </c>
      <c r="BA543" s="6"/>
      <c r="BB543" s="6">
        <v>-3427.7</v>
      </c>
    </row>
    <row r="544" spans="32:55">
      <c r="AF544">
        <f t="shared" si="40"/>
        <v>0</v>
      </c>
      <c r="AG544" t="str">
        <f t="shared" si="41"/>
        <v>NaClO₃ (s)</v>
      </c>
      <c r="AH544" t="s">
        <v>1967</v>
      </c>
      <c r="AI544" t="s">
        <v>1968</v>
      </c>
      <c r="AJ544" t="s">
        <v>1968</v>
      </c>
      <c r="AL544" t="s">
        <v>1969</v>
      </c>
      <c r="AS544" t="s">
        <v>160</v>
      </c>
      <c r="AX544" s="6">
        <v>106.44</v>
      </c>
      <c r="AY544" s="6" t="s">
        <v>1970</v>
      </c>
      <c r="AZ544" s="6">
        <v>123.4</v>
      </c>
      <c r="BA544" s="6"/>
      <c r="BB544" s="6">
        <v>-262.3</v>
      </c>
    </row>
    <row r="545" spans="32:55">
      <c r="AF545">
        <f t="shared" si="40"/>
        <v>0</v>
      </c>
      <c r="AG545" t="str">
        <f t="shared" si="41"/>
        <v>NaCl (s)</v>
      </c>
      <c r="AH545" t="s">
        <v>1971</v>
      </c>
      <c r="AI545" t="s">
        <v>1971</v>
      </c>
      <c r="AJ545" t="s">
        <v>1971</v>
      </c>
      <c r="AK545" t="s">
        <v>1972</v>
      </c>
      <c r="AL545" t="s">
        <v>1973</v>
      </c>
      <c r="AS545" t="s">
        <v>160</v>
      </c>
      <c r="AX545" s="6">
        <v>58.44</v>
      </c>
      <c r="AY545" s="6" t="s">
        <v>1974</v>
      </c>
      <c r="AZ545" s="6">
        <v>72.099999999999994</v>
      </c>
      <c r="BA545" s="6"/>
      <c r="BB545" s="6">
        <v>-384.1</v>
      </c>
    </row>
    <row r="546" spans="32:55">
      <c r="AF546">
        <f t="shared" si="40"/>
        <v>0</v>
      </c>
      <c r="AG546" t="str">
        <f t="shared" si="41"/>
        <v>NaClO₂ (s)</v>
      </c>
      <c r="AH546" t="s">
        <v>1975</v>
      </c>
      <c r="AI546" t="s">
        <v>1976</v>
      </c>
      <c r="AJ546" t="s">
        <v>1976</v>
      </c>
      <c r="AL546" t="s">
        <v>1977</v>
      </c>
      <c r="AS546" t="s">
        <v>160</v>
      </c>
      <c r="AX546" s="6">
        <v>90.44</v>
      </c>
      <c r="AY546" s="6" t="s">
        <v>1978</v>
      </c>
      <c r="AZ546" s="6">
        <v>111.7</v>
      </c>
      <c r="BA546" s="6"/>
      <c r="BB546" s="6">
        <v>-227.82</v>
      </c>
    </row>
    <row r="547" spans="32:55">
      <c r="AF547">
        <f t="shared" si="40"/>
        <v>0</v>
      </c>
      <c r="AG547" t="str">
        <f t="shared" si="41"/>
        <v>Na₂Cr₂O₇∙2H₂O (s)</v>
      </c>
      <c r="AH547" t="s">
        <v>1979</v>
      </c>
      <c r="AI547" t="s">
        <v>1980</v>
      </c>
      <c r="AJ547" t="s">
        <v>1981</v>
      </c>
      <c r="AL547" t="s">
        <v>1982</v>
      </c>
      <c r="AS547" t="s">
        <v>160</v>
      </c>
      <c r="AX547" s="6">
        <v>298</v>
      </c>
      <c r="AY547" s="6" t="s">
        <v>1983</v>
      </c>
      <c r="AZ547" s="6"/>
      <c r="BA547" s="6"/>
      <c r="BB547" s="6" t="s">
        <v>168</v>
      </c>
      <c r="BC547" s="6"/>
    </row>
    <row r="548" spans="32:55">
      <c r="AF548">
        <f t="shared" si="40"/>
        <v>0</v>
      </c>
      <c r="AG548" t="str">
        <f t="shared" si="41"/>
        <v/>
      </c>
      <c r="AH548" t="s">
        <v>1984</v>
      </c>
      <c r="AI548" t="s">
        <v>1985</v>
      </c>
      <c r="AJ548" t="s">
        <v>1986</v>
      </c>
      <c r="AL548" t="s">
        <v>1987</v>
      </c>
      <c r="AS548" t="s">
        <v>220</v>
      </c>
      <c r="AX548" s="6">
        <v>181.94</v>
      </c>
      <c r="AY548" s="6" t="s">
        <v>168</v>
      </c>
      <c r="AZ548" s="6" t="s">
        <v>168</v>
      </c>
      <c r="BA548" s="6"/>
      <c r="BB548" s="6" t="s">
        <v>168</v>
      </c>
      <c r="BC548" s="6"/>
    </row>
    <row r="549" spans="32:55">
      <c r="AF549">
        <f t="shared" si="40"/>
        <v>0</v>
      </c>
      <c r="AG549" t="str">
        <f t="shared" si="41"/>
        <v>NaH₂PO₄∙H₂O (s)</v>
      </c>
      <c r="AH549" t="s">
        <v>1988</v>
      </c>
      <c r="AI549" t="s">
        <v>1989</v>
      </c>
      <c r="AJ549" t="s">
        <v>1990</v>
      </c>
      <c r="AL549" t="s">
        <v>1991</v>
      </c>
      <c r="AS549" t="s">
        <v>160</v>
      </c>
      <c r="AX549" s="6">
        <v>137.99</v>
      </c>
      <c r="AY549" s="6" t="s">
        <v>1992</v>
      </c>
      <c r="AZ549" s="6" t="s">
        <v>168</v>
      </c>
      <c r="BA549" s="6"/>
      <c r="BB549" s="6" t="s">
        <v>168</v>
      </c>
      <c r="BC549" s="6"/>
    </row>
    <row r="550" spans="32:55">
      <c r="AF550">
        <f t="shared" si="40"/>
        <v>0</v>
      </c>
      <c r="AG550" t="str">
        <f t="shared" si="41"/>
        <v>Na₂S₂O₆∙2H₂O (s)</v>
      </c>
      <c r="AH550" t="s">
        <v>1993</v>
      </c>
      <c r="AI550" t="s">
        <v>1994</v>
      </c>
      <c r="AJ550" t="s">
        <v>1995</v>
      </c>
      <c r="AL550" t="s">
        <v>1996</v>
      </c>
      <c r="AS550" t="s">
        <v>160</v>
      </c>
      <c r="AX550" s="6">
        <v>242.14</v>
      </c>
      <c r="AY550" s="6"/>
      <c r="AZ550" s="6" t="s">
        <v>1997</v>
      </c>
      <c r="BA550" s="6"/>
      <c r="BB550" s="6"/>
      <c r="BC550" s="6"/>
    </row>
    <row r="551" spans="32:55">
      <c r="AF551">
        <f t="shared" si="40"/>
        <v>0</v>
      </c>
      <c r="AG551" t="str">
        <f t="shared" si="41"/>
        <v>Na₂S₂O₄∙2H₂O (s)</v>
      </c>
      <c r="AH551" t="s">
        <v>1998</v>
      </c>
      <c r="AI551" t="s">
        <v>1999</v>
      </c>
      <c r="AJ551" t="s">
        <v>2000</v>
      </c>
      <c r="AL551" t="s">
        <v>2001</v>
      </c>
      <c r="AS551" t="s">
        <v>160</v>
      </c>
      <c r="AX551" s="6">
        <v>210.14</v>
      </c>
      <c r="AY551" s="6"/>
      <c r="AZ551" s="6" t="s">
        <v>2002</v>
      </c>
      <c r="BA551" s="6"/>
      <c r="BB551" s="6" t="s">
        <v>168</v>
      </c>
      <c r="BC551" s="6"/>
    </row>
    <row r="552" spans="32:55">
      <c r="AF552">
        <f t="shared" si="40"/>
        <v>0</v>
      </c>
      <c r="AG552" t="str">
        <f t="shared" si="41"/>
        <v>CH₃CH₂ONa (s)</v>
      </c>
      <c r="AH552" t="s">
        <v>2003</v>
      </c>
      <c r="AI552" t="s">
        <v>2004</v>
      </c>
      <c r="AJ552" t="s">
        <v>2004</v>
      </c>
      <c r="AL552" t="s">
        <v>2005</v>
      </c>
      <c r="AS552" t="s">
        <v>160</v>
      </c>
      <c r="AX552" s="6">
        <v>68.05</v>
      </c>
      <c r="AY552" s="6" t="s">
        <v>2006</v>
      </c>
      <c r="AZ552" s="6" t="s">
        <v>168</v>
      </c>
      <c r="BA552" s="6"/>
      <c r="BB552" s="6" t="s">
        <v>168</v>
      </c>
      <c r="BC552" s="6"/>
    </row>
    <row r="553" spans="32:55">
      <c r="AF553">
        <f t="shared" si="40"/>
        <v>0</v>
      </c>
      <c r="AG553" t="str">
        <f t="shared" si="41"/>
        <v>NaF (s)</v>
      </c>
      <c r="AH553" t="s">
        <v>2007</v>
      </c>
      <c r="AI553" t="s">
        <v>2007</v>
      </c>
      <c r="AJ553" t="s">
        <v>2007</v>
      </c>
      <c r="AL553" t="s">
        <v>2008</v>
      </c>
      <c r="AS553" t="s">
        <v>160</v>
      </c>
      <c r="AX553" s="6">
        <v>41.99</v>
      </c>
      <c r="AY553" s="6" t="s">
        <v>2009</v>
      </c>
      <c r="AZ553" s="6">
        <v>51.1</v>
      </c>
      <c r="BA553" s="6"/>
      <c r="BB553" s="6">
        <v>-546.29999999999995</v>
      </c>
    </row>
    <row r="554" spans="32:55">
      <c r="AF554">
        <f t="shared" si="40"/>
        <v>0</v>
      </c>
      <c r="AG554" t="str">
        <f t="shared" si="41"/>
        <v>HCOONa (s)</v>
      </c>
      <c r="AH554" t="s">
        <v>2010</v>
      </c>
      <c r="AI554" t="s">
        <v>2010</v>
      </c>
      <c r="AJ554" t="s">
        <v>2010</v>
      </c>
      <c r="AL554" t="s">
        <v>2011</v>
      </c>
      <c r="AS554" t="s">
        <v>160</v>
      </c>
      <c r="AX554" s="6">
        <v>68.010000000000005</v>
      </c>
      <c r="AY554" s="6" t="s">
        <v>2012</v>
      </c>
      <c r="AZ554" s="6">
        <v>103.8</v>
      </c>
      <c r="BA554" s="6"/>
      <c r="BB554" s="6">
        <v>-600</v>
      </c>
    </row>
    <row r="555" spans="32:55">
      <c r="AF555">
        <f t="shared" si="40"/>
        <v>0</v>
      </c>
      <c r="AG555" t="str">
        <f t="shared" si="41"/>
        <v/>
      </c>
      <c r="AH555" t="s">
        <v>2013</v>
      </c>
      <c r="AI555" t="s">
        <v>2014</v>
      </c>
      <c r="AJ555" t="s">
        <v>2015</v>
      </c>
      <c r="AL555" t="s">
        <v>2016</v>
      </c>
      <c r="AS555" t="s">
        <v>220</v>
      </c>
      <c r="AX555" s="6">
        <v>403.98</v>
      </c>
      <c r="AY555" s="6" t="s">
        <v>168</v>
      </c>
      <c r="AZ555" s="6" t="s">
        <v>168</v>
      </c>
      <c r="BA555" s="6"/>
      <c r="BB555" s="6" t="s">
        <v>168</v>
      </c>
      <c r="BC555" s="6"/>
    </row>
    <row r="556" spans="32:55">
      <c r="AF556">
        <f t="shared" si="40"/>
        <v>0</v>
      </c>
      <c r="AG556" t="str">
        <f t="shared" si="41"/>
        <v>Na₃AlF₆ (s)</v>
      </c>
      <c r="AH556" t="s">
        <v>2017</v>
      </c>
      <c r="AI556" t="s">
        <v>2018</v>
      </c>
      <c r="AJ556" t="s">
        <v>2018</v>
      </c>
      <c r="AK556" t="s">
        <v>2019</v>
      </c>
      <c r="AL556" t="s">
        <v>2020</v>
      </c>
      <c r="AS556" t="s">
        <v>160</v>
      </c>
      <c r="AX556" s="6">
        <v>209.94</v>
      </c>
      <c r="AY556" s="6" t="s">
        <v>2021</v>
      </c>
      <c r="AZ556" s="6">
        <v>238.4</v>
      </c>
      <c r="BA556" s="6"/>
      <c r="BB556" s="6">
        <v>-3144.7</v>
      </c>
    </row>
    <row r="557" spans="32:55">
      <c r="AF557">
        <f t="shared" si="40"/>
        <v>0</v>
      </c>
      <c r="AG557" t="str">
        <f t="shared" si="41"/>
        <v/>
      </c>
      <c r="AH557" t="s">
        <v>2022</v>
      </c>
      <c r="AI557" t="s">
        <v>2023</v>
      </c>
      <c r="AJ557" t="s">
        <v>2024</v>
      </c>
      <c r="AK557" t="s">
        <v>2025</v>
      </c>
      <c r="AL557" t="s">
        <v>2026</v>
      </c>
      <c r="AS557" t="s">
        <v>220</v>
      </c>
      <c r="AX557" s="6">
        <v>611.77</v>
      </c>
      <c r="AY557" s="6" t="s">
        <v>168</v>
      </c>
      <c r="AZ557" s="6" t="s">
        <v>168</v>
      </c>
      <c r="BA557" s="6"/>
      <c r="BB557" s="6" t="s">
        <v>168</v>
      </c>
      <c r="BC557" s="6"/>
    </row>
    <row r="558" spans="32:55">
      <c r="AF558">
        <f t="shared" si="40"/>
        <v>0</v>
      </c>
      <c r="AG558" t="str">
        <f t="shared" si="41"/>
        <v>NaH (s)</v>
      </c>
      <c r="AH558" t="s">
        <v>2027</v>
      </c>
      <c r="AI558" t="s">
        <v>2027</v>
      </c>
      <c r="AJ558" t="s">
        <v>2027</v>
      </c>
      <c r="AL558" t="s">
        <v>2028</v>
      </c>
      <c r="AS558" t="s">
        <v>160</v>
      </c>
      <c r="AX558" s="6">
        <v>24</v>
      </c>
      <c r="AY558" s="6" t="s">
        <v>2029</v>
      </c>
      <c r="AZ558" s="6">
        <v>40</v>
      </c>
      <c r="BA558" s="6"/>
      <c r="BB558" s="6">
        <v>-33.5</v>
      </c>
    </row>
    <row r="559" spans="32:55">
      <c r="AF559">
        <f t="shared" si="40"/>
        <v>0</v>
      </c>
      <c r="AG559" t="str">
        <f t="shared" si="41"/>
        <v/>
      </c>
      <c r="AH559" t="s">
        <v>2030</v>
      </c>
      <c r="AI559" t="s">
        <v>2031</v>
      </c>
      <c r="AJ559" t="s">
        <v>2032</v>
      </c>
      <c r="AL559" t="s">
        <v>2033</v>
      </c>
      <c r="AS559" t="s">
        <v>220</v>
      </c>
      <c r="AX559" s="6">
        <v>312.01</v>
      </c>
      <c r="AY559" s="6" t="s">
        <v>168</v>
      </c>
      <c r="AZ559" s="6" t="s">
        <v>168</v>
      </c>
      <c r="BA559" s="6"/>
      <c r="BB559" s="6" t="s">
        <v>168</v>
      </c>
      <c r="BC559" s="6"/>
    </row>
    <row r="560" spans="32:55">
      <c r="AF560">
        <f t="shared" si="40"/>
        <v>0</v>
      </c>
      <c r="AG560" t="str">
        <f t="shared" si="41"/>
        <v>NaHCO₃ (s)</v>
      </c>
      <c r="AH560" t="s">
        <v>2034</v>
      </c>
      <c r="AI560" t="s">
        <v>2035</v>
      </c>
      <c r="AJ560" t="s">
        <v>2035</v>
      </c>
      <c r="AK560" t="s">
        <v>2036</v>
      </c>
      <c r="AL560" t="s">
        <v>2037</v>
      </c>
      <c r="AS560" t="s">
        <v>160</v>
      </c>
      <c r="AX560" s="6">
        <v>84.01</v>
      </c>
      <c r="AY560" s="6" t="s">
        <v>2038</v>
      </c>
      <c r="AZ560" s="6">
        <v>101.7</v>
      </c>
      <c r="BA560" s="6"/>
      <c r="BB560" s="6">
        <v>-851</v>
      </c>
    </row>
    <row r="561" spans="32:55">
      <c r="AF561">
        <f t="shared" si="40"/>
        <v>0</v>
      </c>
      <c r="AG561" t="str">
        <f t="shared" si="41"/>
        <v/>
      </c>
      <c r="AH561" t="s">
        <v>2039</v>
      </c>
      <c r="AI561" t="s">
        <v>2040</v>
      </c>
      <c r="AJ561" t="s">
        <v>2041</v>
      </c>
      <c r="AL561" t="s">
        <v>2042</v>
      </c>
      <c r="AS561" t="s">
        <v>220</v>
      </c>
      <c r="AX561" s="6">
        <v>177.99</v>
      </c>
      <c r="AY561" s="6" t="s">
        <v>168</v>
      </c>
      <c r="AZ561" s="6" t="s">
        <v>168</v>
      </c>
      <c r="BA561" s="6"/>
      <c r="BB561" s="6" t="s">
        <v>168</v>
      </c>
      <c r="BC561" s="6"/>
    </row>
    <row r="562" spans="32:55">
      <c r="AF562">
        <f t="shared" si="40"/>
        <v>0</v>
      </c>
      <c r="AG562" t="str">
        <f t="shared" si="41"/>
        <v>HOOC-COONa∙H₂O (s)</v>
      </c>
      <c r="AH562" t="s">
        <v>2043</v>
      </c>
      <c r="AI562" t="s">
        <v>2044</v>
      </c>
      <c r="AJ562" t="s">
        <v>2045</v>
      </c>
      <c r="AL562" t="s">
        <v>2046</v>
      </c>
      <c r="AS562" t="s">
        <v>160</v>
      </c>
      <c r="AX562" s="6">
        <v>130.03</v>
      </c>
      <c r="AY562" s="6" t="s">
        <v>2047</v>
      </c>
      <c r="AZ562" s="6" t="s">
        <v>168</v>
      </c>
      <c r="BA562" s="6"/>
      <c r="BB562" s="6" t="s">
        <v>168</v>
      </c>
      <c r="BC562" s="6"/>
    </row>
    <row r="563" spans="32:55">
      <c r="AF563">
        <f t="shared" si="40"/>
        <v>0</v>
      </c>
      <c r="AG563" t="str">
        <f t="shared" si="41"/>
        <v>NaHSO₄ (s)</v>
      </c>
      <c r="AH563" t="s">
        <v>2048</v>
      </c>
      <c r="AI563" t="s">
        <v>2049</v>
      </c>
      <c r="AJ563" t="s">
        <v>2049</v>
      </c>
      <c r="AL563" t="s">
        <v>2050</v>
      </c>
      <c r="AS563" t="s">
        <v>160</v>
      </c>
      <c r="AX563" s="6">
        <v>120.06</v>
      </c>
      <c r="AY563" s="6" t="s">
        <v>2051</v>
      </c>
      <c r="AZ563" s="6">
        <v>113</v>
      </c>
      <c r="BA563" s="6"/>
      <c r="BB563" s="6">
        <v>-992.8</v>
      </c>
    </row>
    <row r="564" spans="32:55">
      <c r="AF564">
        <f t="shared" si="40"/>
        <v>0</v>
      </c>
      <c r="AG564" t="str">
        <f t="shared" si="41"/>
        <v>NaHS (s)</v>
      </c>
      <c r="AH564" t="s">
        <v>2052</v>
      </c>
      <c r="AI564" t="s">
        <v>2052</v>
      </c>
      <c r="AJ564" t="s">
        <v>2052</v>
      </c>
      <c r="AL564" t="s">
        <v>2053</v>
      </c>
      <c r="AS564" t="s">
        <v>160</v>
      </c>
      <c r="AX564" s="6">
        <v>56.06</v>
      </c>
      <c r="AY564" s="6" t="s">
        <v>2054</v>
      </c>
      <c r="AZ564" s="6" t="s">
        <v>168</v>
      </c>
      <c r="BA564" s="6"/>
      <c r="BB564" s="6">
        <v>-213.4</v>
      </c>
    </row>
    <row r="565" spans="32:55">
      <c r="AF565">
        <f t="shared" si="40"/>
        <v>0</v>
      </c>
      <c r="AG565" t="str">
        <f t="shared" si="41"/>
        <v/>
      </c>
      <c r="AH565" t="s">
        <v>2055</v>
      </c>
      <c r="AI565" t="s">
        <v>2056</v>
      </c>
      <c r="AJ565" t="s">
        <v>2056</v>
      </c>
      <c r="AL565" t="s">
        <v>2057</v>
      </c>
      <c r="AS565" t="s">
        <v>220</v>
      </c>
      <c r="AX565" s="6">
        <v>104.06</v>
      </c>
      <c r="AY565" s="6" t="s">
        <v>168</v>
      </c>
      <c r="AZ565" s="6" t="s">
        <v>168</v>
      </c>
      <c r="BA565" s="6"/>
      <c r="BB565" s="6" t="s">
        <v>168</v>
      </c>
      <c r="BC565" s="6"/>
    </row>
    <row r="566" spans="32:55">
      <c r="AF566">
        <f t="shared" si="40"/>
        <v>0</v>
      </c>
      <c r="AG566" t="str">
        <f t="shared" si="41"/>
        <v/>
      </c>
      <c r="AH566" t="s">
        <v>2058</v>
      </c>
      <c r="AI566" t="s">
        <v>2059</v>
      </c>
      <c r="AJ566" t="s">
        <v>2060</v>
      </c>
      <c r="AL566" t="s">
        <v>2061</v>
      </c>
      <c r="AS566" t="s">
        <v>220</v>
      </c>
      <c r="AX566" s="6">
        <v>119.48</v>
      </c>
      <c r="AY566" s="6" t="s">
        <v>168</v>
      </c>
      <c r="AZ566" s="6" t="s">
        <v>168</v>
      </c>
      <c r="BA566" s="6"/>
      <c r="BB566" s="6" t="s">
        <v>168</v>
      </c>
      <c r="BC566" s="6"/>
    </row>
    <row r="567" spans="32:55">
      <c r="AF567">
        <f t="shared" si="40"/>
        <v>0</v>
      </c>
      <c r="AG567" t="str">
        <f t="shared" si="41"/>
        <v>NaOH (s)</v>
      </c>
      <c r="AH567" t="s">
        <v>2062</v>
      </c>
      <c r="AI567" t="s">
        <v>2062</v>
      </c>
      <c r="AJ567" t="s">
        <v>2062</v>
      </c>
      <c r="AK567" t="s">
        <v>2063</v>
      </c>
      <c r="AL567" t="s">
        <v>2064</v>
      </c>
      <c r="AS567" t="s">
        <v>160</v>
      </c>
      <c r="AX567" s="6">
        <v>40</v>
      </c>
      <c r="AY567" s="6" t="s">
        <v>2065</v>
      </c>
      <c r="AZ567" s="6">
        <v>64.400000000000006</v>
      </c>
      <c r="BA567" s="6"/>
      <c r="BB567" s="6">
        <v>-379.7</v>
      </c>
    </row>
    <row r="568" spans="32:55">
      <c r="AF568">
        <f t="shared" si="40"/>
        <v>0</v>
      </c>
      <c r="AG568" t="str">
        <f t="shared" si="41"/>
        <v>NaIO₃ (s)</v>
      </c>
      <c r="AH568" t="s">
        <v>2066</v>
      </c>
      <c r="AI568" t="s">
        <v>2067</v>
      </c>
      <c r="AJ568" t="s">
        <v>2067</v>
      </c>
      <c r="AL568" t="s">
        <v>2068</v>
      </c>
      <c r="AS568" t="s">
        <v>160</v>
      </c>
      <c r="AX568" s="6">
        <v>197.89</v>
      </c>
      <c r="AY568" s="6" t="s">
        <v>2069</v>
      </c>
      <c r="AZ568" s="6">
        <v>135.1</v>
      </c>
      <c r="BA568" s="6"/>
      <c r="BB568" s="6" t="s">
        <v>168</v>
      </c>
      <c r="BC568" s="6"/>
    </row>
    <row r="569" spans="32:55">
      <c r="AF569">
        <f t="shared" si="40"/>
        <v>0</v>
      </c>
      <c r="AG569" t="str">
        <f t="shared" si="41"/>
        <v>NaI (s)</v>
      </c>
      <c r="AH569" t="s">
        <v>2070</v>
      </c>
      <c r="AI569" t="s">
        <v>2070</v>
      </c>
      <c r="AJ569" t="s">
        <v>2070</v>
      </c>
      <c r="AL569" t="s">
        <v>2071</v>
      </c>
      <c r="AS569" t="s">
        <v>160</v>
      </c>
      <c r="AX569" s="6">
        <v>149.88999999999999</v>
      </c>
      <c r="AY569" s="6" t="s">
        <v>2072</v>
      </c>
      <c r="AZ569" s="6">
        <v>98.5</v>
      </c>
      <c r="BA569" s="6"/>
      <c r="BB569" s="6">
        <v>-286.10000000000002</v>
      </c>
    </row>
    <row r="570" spans="32:55">
      <c r="AF570">
        <f t="shared" si="40"/>
        <v>0</v>
      </c>
      <c r="AG570" t="str">
        <f t="shared" si="41"/>
        <v>NaI∙2H₂O (s)</v>
      </c>
      <c r="AH570" t="s">
        <v>2073</v>
      </c>
      <c r="AI570" t="s">
        <v>2074</v>
      </c>
      <c r="AJ570" t="s">
        <v>2075</v>
      </c>
      <c r="AL570" t="s">
        <v>2076</v>
      </c>
      <c r="AS570" t="s">
        <v>160</v>
      </c>
      <c r="AX570" s="6">
        <v>185.92</v>
      </c>
      <c r="AY570" s="6" t="s">
        <v>2077</v>
      </c>
      <c r="AZ570" s="6" t="s">
        <v>168</v>
      </c>
      <c r="BA570" s="6"/>
      <c r="BB570" s="6" t="s">
        <v>168</v>
      </c>
      <c r="BC570" s="6"/>
    </row>
    <row r="571" spans="32:55">
      <c r="AF571">
        <f t="shared" si="40"/>
        <v>0</v>
      </c>
      <c r="AG571" t="str">
        <f t="shared" si="41"/>
        <v>CH₃ONa (s)</v>
      </c>
      <c r="AH571" t="s">
        <v>2078</v>
      </c>
      <c r="AI571" t="s">
        <v>2079</v>
      </c>
      <c r="AJ571" t="s">
        <v>2079</v>
      </c>
      <c r="AL571" t="s">
        <v>2080</v>
      </c>
      <c r="AS571" t="s">
        <v>160</v>
      </c>
      <c r="AX571" s="6">
        <v>54.03</v>
      </c>
      <c r="AY571" s="6" t="s">
        <v>2081</v>
      </c>
      <c r="AZ571" s="6">
        <v>110.6</v>
      </c>
      <c r="BA571" s="6"/>
      <c r="BB571" s="6">
        <v>-294.8</v>
      </c>
    </row>
    <row r="572" spans="32:55">
      <c r="AF572">
        <f t="shared" si="40"/>
        <v>0</v>
      </c>
      <c r="AG572" t="str">
        <f t="shared" si="41"/>
        <v>NaNO₃ (s)</v>
      </c>
      <c r="AH572" t="s">
        <v>2082</v>
      </c>
      <c r="AI572" t="s">
        <v>2083</v>
      </c>
      <c r="AJ572" t="s">
        <v>2083</v>
      </c>
      <c r="AL572" t="s">
        <v>2084</v>
      </c>
      <c r="AS572" t="s">
        <v>160</v>
      </c>
      <c r="AX572" s="6">
        <v>85</v>
      </c>
      <c r="AY572" s="6" t="s">
        <v>2085</v>
      </c>
      <c r="AZ572" s="6">
        <v>116.5</v>
      </c>
      <c r="BA572" s="6"/>
      <c r="BB572" s="6">
        <v>-367</v>
      </c>
    </row>
    <row r="573" spans="32:55">
      <c r="AF573">
        <f t="shared" si="40"/>
        <v>0</v>
      </c>
      <c r="AG573" t="str">
        <f t="shared" si="41"/>
        <v>Na₃N (s)</v>
      </c>
      <c r="AH573" t="s">
        <v>2086</v>
      </c>
      <c r="AI573" t="s">
        <v>2087</v>
      </c>
      <c r="AJ573" t="s">
        <v>2087</v>
      </c>
      <c r="AL573" t="s">
        <v>2088</v>
      </c>
      <c r="AS573" t="s">
        <v>160</v>
      </c>
      <c r="AX573" s="6">
        <v>82.98</v>
      </c>
      <c r="AY573" s="6" t="s">
        <v>2089</v>
      </c>
      <c r="AZ573" s="6">
        <v>70.5</v>
      </c>
      <c r="BA573" s="6"/>
      <c r="BB573" s="6">
        <v>99.4</v>
      </c>
    </row>
    <row r="574" spans="32:55">
      <c r="AF574">
        <f t="shared" si="40"/>
        <v>0</v>
      </c>
      <c r="AG574" t="str">
        <f t="shared" si="41"/>
        <v>NaNO₂ (s)</v>
      </c>
      <c r="AH574" t="s">
        <v>2090</v>
      </c>
      <c r="AI574" t="s">
        <v>2091</v>
      </c>
      <c r="AJ574" t="s">
        <v>2091</v>
      </c>
      <c r="AK574" t="s">
        <v>2092</v>
      </c>
      <c r="AL574" t="s">
        <v>2093</v>
      </c>
      <c r="AS574" t="s">
        <v>160</v>
      </c>
      <c r="AX574" s="6">
        <v>69</v>
      </c>
      <c r="AY574" s="6" t="s">
        <v>2094</v>
      </c>
      <c r="AZ574" s="6">
        <v>103.8</v>
      </c>
      <c r="BA574" s="6"/>
      <c r="BB574" s="6">
        <v>-284.60000000000002</v>
      </c>
    </row>
    <row r="575" spans="32:55">
      <c r="AF575">
        <f t="shared" si="40"/>
        <v>0</v>
      </c>
      <c r="AG575" t="str">
        <f t="shared" si="41"/>
        <v/>
      </c>
      <c r="AH575" t="s">
        <v>2095</v>
      </c>
      <c r="AI575" t="s">
        <v>2096</v>
      </c>
      <c r="AJ575" t="s">
        <v>2096</v>
      </c>
      <c r="AL575" t="s">
        <v>2097</v>
      </c>
      <c r="AS575" t="s">
        <v>220</v>
      </c>
      <c r="AX575" s="6">
        <v>304.45</v>
      </c>
      <c r="AY575" s="6" t="s">
        <v>168</v>
      </c>
      <c r="AZ575" s="6" t="s">
        <v>168</v>
      </c>
      <c r="BA575" s="6"/>
      <c r="BB575" s="6" t="s">
        <v>168</v>
      </c>
      <c r="BC575" s="6"/>
    </row>
    <row r="576" spans="32:55">
      <c r="AF576">
        <f t="shared" si="40"/>
        <v>0</v>
      </c>
      <c r="AG576" t="str">
        <f t="shared" si="41"/>
        <v>Na₂C₂O₄ (s)</v>
      </c>
      <c r="AH576" t="s">
        <v>2098</v>
      </c>
      <c r="AI576" t="s">
        <v>2099</v>
      </c>
      <c r="AJ576" t="s">
        <v>2099</v>
      </c>
      <c r="AL576" t="s">
        <v>2100</v>
      </c>
      <c r="AS576" t="s">
        <v>160</v>
      </c>
      <c r="AX576" s="6">
        <v>134</v>
      </c>
      <c r="AY576" s="6" t="s">
        <v>2101</v>
      </c>
      <c r="AZ576" s="6">
        <v>155</v>
      </c>
      <c r="BA576" s="6"/>
      <c r="BB576" s="6">
        <v>-1289</v>
      </c>
    </row>
    <row r="577" spans="32:55">
      <c r="AF577">
        <f t="shared" si="40"/>
        <v>0</v>
      </c>
      <c r="AG577" t="str">
        <f t="shared" si="41"/>
        <v>Na₂O (s)</v>
      </c>
      <c r="AH577" t="s">
        <v>2102</v>
      </c>
      <c r="AI577" t="s">
        <v>2103</v>
      </c>
      <c r="AJ577" t="s">
        <v>2103</v>
      </c>
      <c r="AL577" t="s">
        <v>2104</v>
      </c>
      <c r="AS577" t="s">
        <v>160</v>
      </c>
      <c r="AX577" s="6">
        <v>61.98</v>
      </c>
      <c r="AY577" s="6" t="s">
        <v>2105</v>
      </c>
      <c r="AZ577" s="6">
        <v>75.099999999999994</v>
      </c>
      <c r="BA577" s="6"/>
      <c r="BB577" s="6">
        <v>-375.5</v>
      </c>
    </row>
    <row r="578" spans="32:55">
      <c r="AF578">
        <f t="shared" si="40"/>
        <v>0</v>
      </c>
      <c r="AG578" t="str">
        <f t="shared" si="41"/>
        <v/>
      </c>
      <c r="AH578" t="s">
        <v>2106</v>
      </c>
      <c r="AI578" t="s">
        <v>2107</v>
      </c>
      <c r="AJ578" t="s">
        <v>2108</v>
      </c>
      <c r="AL578" t="s">
        <v>2109</v>
      </c>
      <c r="AS578" t="s">
        <v>220</v>
      </c>
      <c r="AX578" s="6">
        <v>1589.84</v>
      </c>
      <c r="AY578" s="6" t="s">
        <v>168</v>
      </c>
      <c r="AZ578" s="6" t="s">
        <v>168</v>
      </c>
      <c r="BA578" s="6"/>
      <c r="BB578" s="6" t="s">
        <v>168</v>
      </c>
      <c r="BC578" s="6"/>
    </row>
    <row r="579" spans="32:55">
      <c r="AF579">
        <f t="shared" ref="AF579:AF642" si="42">IF(OR(AG579="",COUNTIF(AG:AG, AG579) = 1),0, "1")</f>
        <v>0</v>
      </c>
      <c r="AG579" t="str">
        <f t="shared" ref="AG579:AG642" si="43">IF(AS579 &lt;&gt; "",AH579&amp;" ("&amp;AS579 &amp;")","")</f>
        <v/>
      </c>
      <c r="AH579" t="s">
        <v>2110</v>
      </c>
      <c r="AI579" t="s">
        <v>2111</v>
      </c>
      <c r="AJ579" t="s">
        <v>2112</v>
      </c>
      <c r="AL579" t="s">
        <v>2113</v>
      </c>
      <c r="AS579" t="s">
        <v>220</v>
      </c>
      <c r="AX579" s="6">
        <v>153.86000000000001</v>
      </c>
      <c r="AY579" s="6" t="s">
        <v>168</v>
      </c>
      <c r="AZ579" s="6" t="s">
        <v>168</v>
      </c>
      <c r="BA579" s="6"/>
      <c r="BB579" s="6" t="s">
        <v>168</v>
      </c>
      <c r="BC579" s="6"/>
    </row>
    <row r="580" spans="32:55">
      <c r="AF580">
        <f t="shared" si="42"/>
        <v>0</v>
      </c>
      <c r="AG580" t="str">
        <f t="shared" si="43"/>
        <v>NaClO₄ (s)</v>
      </c>
      <c r="AH580" t="s">
        <v>2114</v>
      </c>
      <c r="AI580" t="s">
        <v>2115</v>
      </c>
      <c r="AJ580" t="s">
        <v>2115</v>
      </c>
      <c r="AL580" t="s">
        <v>2116</v>
      </c>
      <c r="AS580" t="s">
        <v>160</v>
      </c>
      <c r="AX580" s="6">
        <v>122.44</v>
      </c>
      <c r="AY580" s="6" t="s">
        <v>2117</v>
      </c>
      <c r="AZ580" s="6">
        <v>142.30000000000001</v>
      </c>
      <c r="BA580" s="6"/>
      <c r="BB580" s="6">
        <v>-254.9</v>
      </c>
    </row>
    <row r="581" spans="32:55">
      <c r="AF581">
        <f t="shared" si="42"/>
        <v>0</v>
      </c>
      <c r="AG581" t="str">
        <f t="shared" si="43"/>
        <v>Na₂O₂ (s)</v>
      </c>
      <c r="AH581" t="s">
        <v>2118</v>
      </c>
      <c r="AI581" t="s">
        <v>2119</v>
      </c>
      <c r="AJ581" t="s">
        <v>2119</v>
      </c>
      <c r="AL581" t="s">
        <v>2120</v>
      </c>
      <c r="AS581" t="s">
        <v>160</v>
      </c>
      <c r="AX581" s="6">
        <v>77.98</v>
      </c>
      <c r="AY581" s="6" t="s">
        <v>2121</v>
      </c>
      <c r="AZ581" s="6">
        <v>95</v>
      </c>
      <c r="BA581" s="6"/>
      <c r="BB581" s="6">
        <v>-447.7</v>
      </c>
    </row>
    <row r="582" spans="32:55">
      <c r="AF582">
        <f t="shared" si="42"/>
        <v>0</v>
      </c>
      <c r="AG582" t="str">
        <f t="shared" si="43"/>
        <v/>
      </c>
      <c r="AH582" t="s">
        <v>2122</v>
      </c>
      <c r="AI582" t="s">
        <v>2123</v>
      </c>
      <c r="AJ582" t="s">
        <v>2123</v>
      </c>
      <c r="AL582" t="s">
        <v>2124</v>
      </c>
      <c r="AS582" t="s">
        <v>220</v>
      </c>
      <c r="AX582" s="6">
        <v>238.11</v>
      </c>
      <c r="AY582" s="6" t="s">
        <v>168</v>
      </c>
      <c r="AZ582" s="6" t="s">
        <v>168</v>
      </c>
      <c r="BA582" s="6"/>
      <c r="BB582" s="6" t="s">
        <v>168</v>
      </c>
      <c r="BC582" s="6"/>
    </row>
    <row r="583" spans="32:55">
      <c r="AF583">
        <f t="shared" si="42"/>
        <v>0</v>
      </c>
      <c r="AG583" t="str">
        <f t="shared" si="43"/>
        <v>Na₃PO₄∙12H₂O (s)</v>
      </c>
      <c r="AH583" t="s">
        <v>2125</v>
      </c>
      <c r="AI583" t="s">
        <v>2126</v>
      </c>
      <c r="AJ583" t="s">
        <v>2127</v>
      </c>
      <c r="AL583" t="s">
        <v>2128</v>
      </c>
      <c r="AS583" t="s">
        <v>160</v>
      </c>
      <c r="AX583" s="6">
        <v>380.12</v>
      </c>
      <c r="AY583" s="6" t="s">
        <v>2129</v>
      </c>
      <c r="AZ583" s="6" t="s">
        <v>168</v>
      </c>
      <c r="BA583" s="6"/>
      <c r="BB583" s="6" t="s">
        <v>168</v>
      </c>
      <c r="BC583" s="6"/>
    </row>
    <row r="584" spans="32:55">
      <c r="AF584">
        <f t="shared" si="42"/>
        <v>0</v>
      </c>
      <c r="AG584" t="str">
        <f t="shared" si="43"/>
        <v/>
      </c>
      <c r="AH584" t="s">
        <v>2130</v>
      </c>
      <c r="AI584" t="s">
        <v>2131</v>
      </c>
      <c r="AJ584" t="s">
        <v>2131</v>
      </c>
      <c r="AK584" t="s">
        <v>2132</v>
      </c>
      <c r="AL584" t="s">
        <v>2133</v>
      </c>
      <c r="AS584" t="s">
        <v>220</v>
      </c>
      <c r="AX584" s="6">
        <v>190.1</v>
      </c>
      <c r="AY584" s="6" t="s">
        <v>168</v>
      </c>
      <c r="AZ584" s="6" t="s">
        <v>168</v>
      </c>
      <c r="BA584" s="6"/>
      <c r="BB584" s="6" t="s">
        <v>168</v>
      </c>
      <c r="BC584" s="6"/>
    </row>
    <row r="585" spans="32:55">
      <c r="AF585">
        <f t="shared" si="42"/>
        <v>0</v>
      </c>
      <c r="AG585" t="str">
        <f t="shared" si="43"/>
        <v>Na₂SiO₃ (s)</v>
      </c>
      <c r="AH585" t="s">
        <v>2134</v>
      </c>
      <c r="AI585" t="s">
        <v>2135</v>
      </c>
      <c r="AJ585" t="s">
        <v>2135</v>
      </c>
      <c r="AK585" t="s">
        <v>2136</v>
      </c>
      <c r="AL585" t="s">
        <v>2137</v>
      </c>
      <c r="AS585" t="s">
        <v>160</v>
      </c>
      <c r="AX585" s="6">
        <v>122.06</v>
      </c>
      <c r="AY585" s="6" t="s">
        <v>2138</v>
      </c>
      <c r="AZ585" s="6">
        <v>113.9</v>
      </c>
      <c r="BA585" s="6"/>
      <c r="BB585" s="6">
        <v>-1462.8</v>
      </c>
    </row>
    <row r="586" spans="32:55">
      <c r="AF586">
        <f t="shared" si="42"/>
        <v>0</v>
      </c>
      <c r="AG586" t="str">
        <f t="shared" si="43"/>
        <v/>
      </c>
      <c r="AH586" t="s">
        <v>2139</v>
      </c>
      <c r="AI586" t="s">
        <v>2140</v>
      </c>
      <c r="AJ586" t="s">
        <v>2140</v>
      </c>
      <c r="AL586" t="s">
        <v>2141</v>
      </c>
      <c r="AS586" t="s">
        <v>220</v>
      </c>
      <c r="AX586" s="6">
        <v>306.45999999999998</v>
      </c>
      <c r="AY586" s="6" t="s">
        <v>168</v>
      </c>
      <c r="AZ586" s="6" t="s">
        <v>168</v>
      </c>
      <c r="BA586" s="6"/>
      <c r="BB586" s="6" t="s">
        <v>168</v>
      </c>
      <c r="BC586" s="6"/>
    </row>
    <row r="587" spans="32:55">
      <c r="AF587">
        <f t="shared" si="42"/>
        <v>0</v>
      </c>
      <c r="AG587" t="str">
        <f t="shared" si="43"/>
        <v>Na₂SO₄ (s)</v>
      </c>
      <c r="AH587" t="s">
        <v>2142</v>
      </c>
      <c r="AI587" t="s">
        <v>2143</v>
      </c>
      <c r="AJ587" t="s">
        <v>2143</v>
      </c>
      <c r="AL587" t="s">
        <v>2144</v>
      </c>
      <c r="AS587" t="s">
        <v>160</v>
      </c>
      <c r="AX587" s="6">
        <v>142.04</v>
      </c>
      <c r="AY587" s="6" t="s">
        <v>2145</v>
      </c>
      <c r="AZ587" s="6">
        <v>149.6</v>
      </c>
      <c r="BA587" s="6"/>
      <c r="BB587" s="6">
        <v>-1270.2</v>
      </c>
    </row>
    <row r="588" spans="32:55">
      <c r="AF588">
        <f t="shared" si="42"/>
        <v>0</v>
      </c>
      <c r="AG588" t="str">
        <f t="shared" si="43"/>
        <v>Na₂SO₄∙10H₂O (s)</v>
      </c>
      <c r="AH588" t="s">
        <v>2146</v>
      </c>
      <c r="AI588" t="s">
        <v>2147</v>
      </c>
      <c r="AJ588" t="s">
        <v>2148</v>
      </c>
      <c r="AK588" t="s">
        <v>2149</v>
      </c>
      <c r="AL588" t="s">
        <v>2150</v>
      </c>
      <c r="AS588" t="s">
        <v>160</v>
      </c>
      <c r="AX588" s="6">
        <v>322.2</v>
      </c>
      <c r="AY588" s="6" t="s">
        <v>2151</v>
      </c>
      <c r="AZ588" s="6">
        <v>592</v>
      </c>
      <c r="BA588" s="6"/>
      <c r="BB588" s="6">
        <v>-3647.4</v>
      </c>
    </row>
    <row r="589" spans="32:55">
      <c r="AF589">
        <f t="shared" si="42"/>
        <v>0</v>
      </c>
      <c r="AG589" t="str">
        <f t="shared" si="43"/>
        <v>Na₂S (s)</v>
      </c>
      <c r="AH589" t="s">
        <v>2152</v>
      </c>
      <c r="AI589" t="s">
        <v>2153</v>
      </c>
      <c r="AJ589" t="s">
        <v>2153</v>
      </c>
      <c r="AL589" t="s">
        <v>2154</v>
      </c>
      <c r="AS589" t="s">
        <v>160</v>
      </c>
      <c r="AX589" s="6">
        <v>78.05</v>
      </c>
      <c r="AY589" s="6" t="s">
        <v>2155</v>
      </c>
      <c r="AZ589" s="6">
        <v>83.7</v>
      </c>
      <c r="BA589" s="6"/>
      <c r="BB589" s="6">
        <v>-349.8</v>
      </c>
    </row>
    <row r="590" spans="32:55">
      <c r="AF590">
        <f t="shared" si="42"/>
        <v>0</v>
      </c>
      <c r="AG590" t="str">
        <f t="shared" si="43"/>
        <v>Na₂SO₃ (s)</v>
      </c>
      <c r="AH590" t="s">
        <v>2156</v>
      </c>
      <c r="AI590" t="s">
        <v>2157</v>
      </c>
      <c r="AJ590" t="s">
        <v>2157</v>
      </c>
      <c r="AL590" t="s">
        <v>2158</v>
      </c>
      <c r="AS590" t="s">
        <v>160</v>
      </c>
      <c r="AX590" s="6">
        <v>126.04</v>
      </c>
      <c r="AY590" s="6" t="s">
        <v>2159</v>
      </c>
      <c r="AZ590" s="6">
        <v>145.9</v>
      </c>
      <c r="BA590" s="6"/>
      <c r="BB590" s="6">
        <v>-1022.5</v>
      </c>
    </row>
    <row r="591" spans="32:55">
      <c r="AF591">
        <f t="shared" si="42"/>
        <v>0</v>
      </c>
      <c r="AG591" t="str">
        <f t="shared" si="43"/>
        <v>Na₂SO₃∙7H₂O (s)</v>
      </c>
      <c r="AH591" t="s">
        <v>2160</v>
      </c>
      <c r="AI591" t="s">
        <v>2161</v>
      </c>
      <c r="AJ591" t="s">
        <v>2162</v>
      </c>
      <c r="AL591" t="s">
        <v>2163</v>
      </c>
      <c r="AS591" t="s">
        <v>160</v>
      </c>
      <c r="AX591" s="6">
        <v>252.15</v>
      </c>
      <c r="AY591" s="6" t="s">
        <v>2164</v>
      </c>
      <c r="AZ591" s="6" t="s">
        <v>168</v>
      </c>
      <c r="BA591" s="6"/>
      <c r="BB591" s="6" t="s">
        <v>168</v>
      </c>
      <c r="BC591" s="6"/>
    </row>
    <row r="592" spans="32:55">
      <c r="AF592">
        <f t="shared" si="42"/>
        <v>0</v>
      </c>
      <c r="AG592" t="str">
        <f t="shared" si="43"/>
        <v/>
      </c>
      <c r="AH592" t="s">
        <v>2165</v>
      </c>
      <c r="AI592" t="s">
        <v>2166</v>
      </c>
      <c r="AJ592" t="s">
        <v>2167</v>
      </c>
      <c r="AK592" t="s">
        <v>2168</v>
      </c>
      <c r="AL592" t="s">
        <v>2169</v>
      </c>
      <c r="AS592" t="s">
        <v>220</v>
      </c>
      <c r="AX592" s="6">
        <v>481.11</v>
      </c>
      <c r="AY592" s="6" t="s">
        <v>168</v>
      </c>
      <c r="AZ592" s="6" t="s">
        <v>168</v>
      </c>
      <c r="BA592" s="6"/>
      <c r="BB592" s="6" t="s">
        <v>168</v>
      </c>
      <c r="BC592" s="6"/>
    </row>
    <row r="593" spans="32:55">
      <c r="AF593">
        <f t="shared" si="42"/>
        <v>0</v>
      </c>
      <c r="AG593" t="str">
        <f t="shared" si="43"/>
        <v>Na₂S₂O₃ (s)</v>
      </c>
      <c r="AH593" t="s">
        <v>2170</v>
      </c>
      <c r="AI593" t="s">
        <v>2171</v>
      </c>
      <c r="AJ593" t="s">
        <v>2171</v>
      </c>
      <c r="AL593" t="s">
        <v>2172</v>
      </c>
      <c r="AS593" t="s">
        <v>160</v>
      </c>
      <c r="AX593" s="6">
        <v>158.11000000000001</v>
      </c>
      <c r="AY593" s="6">
        <v>-1117.0999999999999</v>
      </c>
      <c r="AZ593" s="6">
        <v>155</v>
      </c>
      <c r="BA593" s="6"/>
      <c r="BB593" s="6">
        <v>-1028</v>
      </c>
      <c r="BC593" s="6"/>
    </row>
    <row r="594" spans="32:55">
      <c r="AF594">
        <f t="shared" si="42"/>
        <v>0</v>
      </c>
      <c r="AG594" t="str">
        <f t="shared" si="43"/>
        <v>Na₂S₂O₃∙5H₂O (s)</v>
      </c>
      <c r="AH594" t="s">
        <v>2173</v>
      </c>
      <c r="AI594" t="s">
        <v>2174</v>
      </c>
      <c r="AJ594" t="s">
        <v>2175</v>
      </c>
      <c r="AK594" t="s">
        <v>2176</v>
      </c>
      <c r="AL594" t="s">
        <v>2177</v>
      </c>
      <c r="AS594" t="s">
        <v>160</v>
      </c>
      <c r="AX594" s="6">
        <v>248.19</v>
      </c>
      <c r="AY594" s="6">
        <v>-2607.9</v>
      </c>
      <c r="AZ594" s="6">
        <v>372.4</v>
      </c>
      <c r="BA594" s="6"/>
      <c r="BB594" s="6">
        <v>-2229.8000000000002</v>
      </c>
      <c r="BC594" s="6"/>
    </row>
    <row r="595" spans="32:55">
      <c r="AF595">
        <f t="shared" si="42"/>
        <v>0</v>
      </c>
      <c r="AG595" t="str">
        <f t="shared" si="43"/>
        <v>Na₃(PO₃)₃∙6H₂O (s)</v>
      </c>
      <c r="AH595" t="s">
        <v>2178</v>
      </c>
      <c r="AI595" t="s">
        <v>2179</v>
      </c>
      <c r="AJ595" t="s">
        <v>2180</v>
      </c>
      <c r="AK595" t="s">
        <v>2181</v>
      </c>
      <c r="AL595" t="s">
        <v>2182</v>
      </c>
      <c r="AS595" t="s">
        <v>160</v>
      </c>
      <c r="AX595" s="6">
        <v>413.98</v>
      </c>
      <c r="AY595" s="6">
        <v>-4399</v>
      </c>
      <c r="AZ595" s="6">
        <v>381.8</v>
      </c>
      <c r="BA595" s="6"/>
      <c r="BB595" s="6">
        <v>-4094</v>
      </c>
      <c r="BC595" s="6"/>
    </row>
    <row r="596" spans="32:55">
      <c r="AF596">
        <f t="shared" si="42"/>
        <v>0</v>
      </c>
      <c r="AG596" t="str">
        <f t="shared" si="43"/>
        <v/>
      </c>
      <c r="AH596" t="s">
        <v>2183</v>
      </c>
      <c r="AI596" t="s">
        <v>2184</v>
      </c>
      <c r="AJ596" t="s">
        <v>2184</v>
      </c>
      <c r="AL596" t="s">
        <v>2185</v>
      </c>
      <c r="AX596" s="6">
        <v>367.86</v>
      </c>
      <c r="AY596" s="6" t="s">
        <v>168</v>
      </c>
      <c r="AZ596" s="6" t="s">
        <v>168</v>
      </c>
      <c r="BA596" s="6"/>
      <c r="BB596" s="6" t="s">
        <v>168</v>
      </c>
      <c r="BC596" s="6"/>
    </row>
    <row r="597" spans="32:55">
      <c r="AF597">
        <f t="shared" si="42"/>
        <v>0</v>
      </c>
      <c r="AG597" t="str">
        <f t="shared" si="43"/>
        <v>W₂O₄∙2H₂O (s)</v>
      </c>
      <c r="AH597" t="s">
        <v>2186</v>
      </c>
      <c r="AI597" t="s">
        <v>2187</v>
      </c>
      <c r="AJ597" t="s">
        <v>2188</v>
      </c>
      <c r="AL597" t="s">
        <v>2189</v>
      </c>
      <c r="AS597" t="s">
        <v>160</v>
      </c>
      <c r="AX597" s="6">
        <v>329.85</v>
      </c>
      <c r="AY597" s="6">
        <v>-1544.7</v>
      </c>
      <c r="AZ597" s="6">
        <v>160.30000000000001</v>
      </c>
      <c r="BA597" s="6"/>
      <c r="BB597" s="6">
        <v>-1429.8</v>
      </c>
      <c r="BC597" s="6"/>
    </row>
    <row r="598" spans="32:55">
      <c r="AF598">
        <f t="shared" si="42"/>
        <v>0</v>
      </c>
      <c r="AG598" t="str">
        <f t="shared" si="43"/>
        <v>Na₂H₂C₁₀H₁₂O₈N₂∙2H₂O (s)</v>
      </c>
      <c r="AH598" t="s">
        <v>2190</v>
      </c>
      <c r="AI598" t="s">
        <v>2191</v>
      </c>
      <c r="AJ598" t="s">
        <v>2192</v>
      </c>
      <c r="AL598" t="s">
        <v>2193</v>
      </c>
      <c r="AS598" t="s">
        <v>160</v>
      </c>
      <c r="AX598" s="6">
        <v>372.24</v>
      </c>
      <c r="AY598" s="6" t="s">
        <v>168</v>
      </c>
      <c r="AZ598" s="6" t="s">
        <v>168</v>
      </c>
      <c r="BA598" s="6"/>
      <c r="BB598" s="6" t="s">
        <v>168</v>
      </c>
      <c r="BC598" s="6"/>
    </row>
    <row r="599" spans="32:55">
      <c r="AF599">
        <f t="shared" si="42"/>
        <v>0</v>
      </c>
      <c r="AG599" t="str">
        <f t="shared" si="43"/>
        <v>Ne (g)</v>
      </c>
      <c r="AH599" t="s">
        <v>2194</v>
      </c>
      <c r="AI599" t="s">
        <v>2194</v>
      </c>
      <c r="AJ599" t="s">
        <v>2194</v>
      </c>
      <c r="AL599" t="s">
        <v>2195</v>
      </c>
      <c r="AS599" t="s">
        <v>47</v>
      </c>
      <c r="AX599" s="6">
        <v>20.18</v>
      </c>
      <c r="AY599" s="6">
        <v>0</v>
      </c>
      <c r="AZ599" s="6">
        <v>146.33000000000001</v>
      </c>
      <c r="BA599" s="6"/>
      <c r="BB599" s="6">
        <v>0</v>
      </c>
      <c r="BC599" s="6"/>
    </row>
    <row r="600" spans="32:55">
      <c r="AF600">
        <f t="shared" si="42"/>
        <v>0</v>
      </c>
      <c r="AG600" t="str">
        <f t="shared" si="43"/>
        <v>Ni (s)</v>
      </c>
      <c r="AH600" t="s">
        <v>2196</v>
      </c>
      <c r="AI600" t="s">
        <v>2196</v>
      </c>
      <c r="AJ600" t="s">
        <v>2196</v>
      </c>
      <c r="AL600" t="s">
        <v>2197</v>
      </c>
      <c r="AS600" t="s">
        <v>160</v>
      </c>
      <c r="AX600" s="6">
        <v>58.69</v>
      </c>
      <c r="AY600" s="6">
        <v>0</v>
      </c>
      <c r="AZ600" s="6">
        <v>29.9</v>
      </c>
      <c r="BA600" s="6"/>
      <c r="BB600" s="6">
        <v>0</v>
      </c>
      <c r="BC600" s="6"/>
    </row>
    <row r="601" spans="32:55">
      <c r="AF601">
        <f t="shared" si="42"/>
        <v>0</v>
      </c>
      <c r="AG601" t="str">
        <f t="shared" si="43"/>
        <v>Ni²⁺ (aq)</v>
      </c>
      <c r="AH601" t="s">
        <v>2198</v>
      </c>
      <c r="AI601" t="s">
        <v>2199</v>
      </c>
      <c r="AJ601" t="s">
        <v>2199</v>
      </c>
      <c r="AL601" t="s">
        <v>2200</v>
      </c>
      <c r="AS601" t="s">
        <v>48</v>
      </c>
      <c r="AX601" s="6">
        <v>58.69</v>
      </c>
      <c r="AY601" s="6">
        <v>-54</v>
      </c>
      <c r="AZ601" s="6">
        <v>-128.9</v>
      </c>
      <c r="BA601" s="6"/>
      <c r="BB601" s="6">
        <v>-45.6</v>
      </c>
      <c r="BC601" s="6"/>
    </row>
    <row r="602" spans="32:55">
      <c r="AF602">
        <f t="shared" si="42"/>
        <v>0</v>
      </c>
      <c r="AG602" t="str">
        <f t="shared" si="43"/>
        <v>NiBr₂ (s)</v>
      </c>
      <c r="AH602" t="s">
        <v>2201</v>
      </c>
      <c r="AI602" t="s">
        <v>2202</v>
      </c>
      <c r="AJ602" t="s">
        <v>2202</v>
      </c>
      <c r="AL602" t="s">
        <v>2203</v>
      </c>
      <c r="AS602" t="s">
        <v>160</v>
      </c>
      <c r="AX602" s="6">
        <v>218.5</v>
      </c>
      <c r="AY602" s="6">
        <v>-212.1</v>
      </c>
      <c r="AZ602" s="6">
        <v>133</v>
      </c>
      <c r="BA602" s="6"/>
      <c r="BB602" s="6">
        <v>-213</v>
      </c>
      <c r="BC602" s="6"/>
    </row>
    <row r="603" spans="32:55">
      <c r="AF603">
        <f t="shared" si="42"/>
        <v>0</v>
      </c>
      <c r="AG603" t="str">
        <f t="shared" si="43"/>
        <v/>
      </c>
      <c r="AH603" t="s">
        <v>2204</v>
      </c>
      <c r="AI603" t="s">
        <v>2205</v>
      </c>
      <c r="AJ603" t="s">
        <v>2206</v>
      </c>
      <c r="AL603" t="s">
        <v>2207</v>
      </c>
      <c r="AS603" t="s">
        <v>220</v>
      </c>
      <c r="AX603" s="6">
        <v>587.66999999999996</v>
      </c>
      <c r="AY603" s="6" t="s">
        <v>168</v>
      </c>
      <c r="AZ603" s="6" t="s">
        <v>168</v>
      </c>
      <c r="BA603" s="6"/>
      <c r="BB603" s="6" t="s">
        <v>168</v>
      </c>
      <c r="BC603" s="6"/>
    </row>
    <row r="604" spans="32:55">
      <c r="AF604">
        <f t="shared" si="42"/>
        <v>0</v>
      </c>
      <c r="AG604" t="str">
        <f t="shared" si="43"/>
        <v>NiCl₂ (s)</v>
      </c>
      <c r="AH604" t="s">
        <v>2208</v>
      </c>
      <c r="AI604" t="s">
        <v>2209</v>
      </c>
      <c r="AJ604" t="s">
        <v>2209</v>
      </c>
      <c r="AL604" t="s">
        <v>2210</v>
      </c>
      <c r="AS604" t="s">
        <v>160</v>
      </c>
      <c r="AX604" s="6">
        <v>129.6</v>
      </c>
      <c r="AY604" s="6">
        <v>-305.3</v>
      </c>
      <c r="AZ604" s="6">
        <v>97.7</v>
      </c>
      <c r="BA604" s="6"/>
      <c r="BB604" s="6">
        <v>-259</v>
      </c>
      <c r="BC604" s="6"/>
    </row>
    <row r="605" spans="32:55">
      <c r="AF605">
        <f t="shared" si="42"/>
        <v>0</v>
      </c>
      <c r="AG605" t="str">
        <f t="shared" si="43"/>
        <v>NiCl₂∙6H₂O (s)</v>
      </c>
      <c r="AH605" t="s">
        <v>2211</v>
      </c>
      <c r="AI605" t="s">
        <v>2212</v>
      </c>
      <c r="AJ605" t="s">
        <v>2213</v>
      </c>
      <c r="AL605" t="s">
        <v>2214</v>
      </c>
      <c r="AS605" t="s">
        <v>160</v>
      </c>
      <c r="AX605" s="6">
        <v>237.69</v>
      </c>
      <c r="AY605" s="6">
        <v>-2116</v>
      </c>
      <c r="AZ605" s="6">
        <v>315</v>
      </c>
      <c r="BA605" s="6"/>
      <c r="BB605" s="6">
        <v>-1718</v>
      </c>
      <c r="BC605" s="6"/>
    </row>
    <row r="606" spans="32:55">
      <c r="AF606">
        <f t="shared" si="42"/>
        <v>0</v>
      </c>
      <c r="AG606" t="str">
        <f t="shared" si="43"/>
        <v>Ni(OH)₂ (s)</v>
      </c>
      <c r="AH606" t="s">
        <v>2215</v>
      </c>
      <c r="AI606" t="s">
        <v>2216</v>
      </c>
      <c r="AJ606" t="s">
        <v>2217</v>
      </c>
      <c r="AL606" t="s">
        <v>2218</v>
      </c>
      <c r="AS606" t="s">
        <v>160</v>
      </c>
      <c r="AX606" s="6">
        <v>92.71</v>
      </c>
      <c r="AY606" s="6">
        <v>-529.70000000000005</v>
      </c>
      <c r="AZ606" s="6">
        <v>88</v>
      </c>
      <c r="BA606" s="6"/>
      <c r="BB606" s="6">
        <v>-447.2</v>
      </c>
      <c r="BC606" s="6"/>
    </row>
    <row r="607" spans="32:55">
      <c r="AF607">
        <f t="shared" si="42"/>
        <v>0</v>
      </c>
      <c r="AG607" t="str">
        <f t="shared" si="43"/>
        <v>Ni(NO₃)₂∙6H₂O (s)</v>
      </c>
      <c r="AH607" t="s">
        <v>2219</v>
      </c>
      <c r="AI607" t="s">
        <v>2220</v>
      </c>
      <c r="AJ607" t="s">
        <v>2221</v>
      </c>
      <c r="AL607" t="s">
        <v>2222</v>
      </c>
      <c r="AS607" t="s">
        <v>160</v>
      </c>
      <c r="AX607" s="6">
        <v>290.79000000000002</v>
      </c>
      <c r="AY607" s="6">
        <v>-2223</v>
      </c>
      <c r="AZ607" s="6" t="s">
        <v>168</v>
      </c>
      <c r="BA607" s="6"/>
      <c r="BB607" s="6" t="s">
        <v>168</v>
      </c>
      <c r="BC607" s="6"/>
    </row>
    <row r="608" spans="32:55">
      <c r="AF608">
        <f t="shared" si="42"/>
        <v>0</v>
      </c>
      <c r="AG608" t="str">
        <f t="shared" si="43"/>
        <v>NiO (s)</v>
      </c>
      <c r="AH608" t="s">
        <v>2223</v>
      </c>
      <c r="AI608" t="s">
        <v>2223</v>
      </c>
      <c r="AJ608" t="s">
        <v>2223</v>
      </c>
      <c r="AL608" t="s">
        <v>2224</v>
      </c>
      <c r="AS608" t="s">
        <v>160</v>
      </c>
      <c r="AX608" s="6">
        <v>74.69</v>
      </c>
      <c r="AY608" s="6">
        <v>-224</v>
      </c>
      <c r="AZ608" s="6">
        <v>38.6</v>
      </c>
      <c r="BA608" s="6"/>
      <c r="BB608" s="6">
        <v>-216</v>
      </c>
      <c r="BC608" s="6"/>
    </row>
    <row r="609" spans="32:55">
      <c r="AF609">
        <f t="shared" si="42"/>
        <v>0</v>
      </c>
      <c r="AG609" t="str">
        <f t="shared" si="43"/>
        <v>NiSO4 (s)</v>
      </c>
      <c r="AH609" t="s">
        <v>2225</v>
      </c>
      <c r="AI609" t="s">
        <v>2225</v>
      </c>
      <c r="AJ609" t="s">
        <v>2225</v>
      </c>
      <c r="AL609" t="s">
        <v>2226</v>
      </c>
      <c r="AS609" t="s">
        <v>160</v>
      </c>
      <c r="AX609" s="6">
        <v>154.76</v>
      </c>
      <c r="AY609" s="6">
        <v>-872.9</v>
      </c>
      <c r="AZ609" s="6">
        <v>92</v>
      </c>
      <c r="BA609" s="6"/>
      <c r="BB609" s="6">
        <v>-759.7</v>
      </c>
      <c r="BC609" s="6"/>
    </row>
    <row r="610" spans="32:55">
      <c r="AF610">
        <f t="shared" si="42"/>
        <v>0</v>
      </c>
      <c r="AG610" t="str">
        <f t="shared" si="43"/>
        <v>NiSO4∙6H₂O (s)</v>
      </c>
      <c r="AH610" t="s">
        <v>2227</v>
      </c>
      <c r="AI610" t="s">
        <v>2228</v>
      </c>
      <c r="AJ610" t="s">
        <v>2229</v>
      </c>
      <c r="AL610" t="s">
        <v>2230</v>
      </c>
      <c r="AS610" t="s">
        <v>160</v>
      </c>
      <c r="AX610" s="6">
        <v>262.85000000000002</v>
      </c>
      <c r="AY610" s="6">
        <v>-2688</v>
      </c>
      <c r="AZ610" s="6">
        <v>306</v>
      </c>
      <c r="BA610" s="6"/>
      <c r="BB610" s="6">
        <v>-2222</v>
      </c>
      <c r="BC610" s="6"/>
    </row>
    <row r="611" spans="32:55">
      <c r="AF611">
        <f t="shared" si="42"/>
        <v>0</v>
      </c>
      <c r="AG611" t="str">
        <f t="shared" si="43"/>
        <v>NiS (s)</v>
      </c>
      <c r="AH611" t="s">
        <v>2231</v>
      </c>
      <c r="AI611" t="s">
        <v>2231</v>
      </c>
      <c r="AJ611" t="s">
        <v>2231</v>
      </c>
      <c r="AK611" t="s">
        <v>2232</v>
      </c>
      <c r="AL611" t="s">
        <v>2233</v>
      </c>
      <c r="AS611" t="s">
        <v>160</v>
      </c>
      <c r="AX611" s="6">
        <v>90.76</v>
      </c>
      <c r="AY611" s="6">
        <v>-82</v>
      </c>
      <c r="AZ611" s="6">
        <v>53</v>
      </c>
      <c r="BA611" s="6"/>
      <c r="BB611" s="6">
        <v>-79.5</v>
      </c>
      <c r="BC611" s="6"/>
    </row>
    <row r="612" spans="32:55">
      <c r="AF612">
        <f t="shared" si="42"/>
        <v>0</v>
      </c>
      <c r="AG612" t="str">
        <f t="shared" si="43"/>
        <v/>
      </c>
      <c r="AH612" t="s">
        <v>2234</v>
      </c>
      <c r="AI612" t="s">
        <v>2235</v>
      </c>
      <c r="AJ612" t="s">
        <v>2236</v>
      </c>
      <c r="AK612" t="s">
        <v>2237</v>
      </c>
      <c r="AL612" t="s">
        <v>2238</v>
      </c>
      <c r="AS612" t="s">
        <v>220</v>
      </c>
      <c r="AX612" s="6">
        <v>290.70999999999998</v>
      </c>
      <c r="AY612" s="6" t="s">
        <v>168</v>
      </c>
      <c r="AZ612" s="6" t="s">
        <v>168</v>
      </c>
      <c r="BA612" s="6"/>
      <c r="BB612" s="6" t="s">
        <v>168</v>
      </c>
      <c r="BC612" s="6"/>
    </row>
    <row r="613" spans="32:55">
      <c r="AF613">
        <f t="shared" si="42"/>
        <v>0</v>
      </c>
      <c r="AG613" t="str">
        <f t="shared" si="43"/>
        <v>Ni(CO)₄ (l)</v>
      </c>
      <c r="AH613" t="s">
        <v>2239</v>
      </c>
      <c r="AI613" t="s">
        <v>2240</v>
      </c>
      <c r="AJ613" t="s">
        <v>2241</v>
      </c>
      <c r="AL613" t="s">
        <v>2242</v>
      </c>
      <c r="AS613" t="s">
        <v>239</v>
      </c>
      <c r="AX613" s="6">
        <v>170.73</v>
      </c>
      <c r="AY613" s="6">
        <v>-633</v>
      </c>
      <c r="AZ613" s="6">
        <v>310</v>
      </c>
      <c r="BA613" s="6"/>
      <c r="BB613" s="6">
        <v>-588.29999999999995</v>
      </c>
      <c r="BC613" s="6"/>
    </row>
    <row r="614" spans="32:55">
      <c r="AF614">
        <f t="shared" si="42"/>
        <v>0</v>
      </c>
      <c r="AG614" t="str">
        <f t="shared" si="43"/>
        <v>N (g)</v>
      </c>
      <c r="AH614" t="s">
        <v>2243</v>
      </c>
      <c r="AI614" t="s">
        <v>2243</v>
      </c>
      <c r="AJ614" t="s">
        <v>2243</v>
      </c>
      <c r="AL614" t="s">
        <v>2244</v>
      </c>
      <c r="AS614" t="s">
        <v>47</v>
      </c>
      <c r="AX614" s="6">
        <v>14.007</v>
      </c>
      <c r="AY614" s="6">
        <v>472.7</v>
      </c>
      <c r="AZ614" s="6">
        <v>153.30000000000001</v>
      </c>
      <c r="BA614" s="6"/>
      <c r="BB614" s="6">
        <v>340.9</v>
      </c>
      <c r="BC614" s="6"/>
    </row>
    <row r="615" spans="32:55">
      <c r="AF615">
        <f t="shared" si="42"/>
        <v>0</v>
      </c>
      <c r="AG615" t="str">
        <f t="shared" si="43"/>
        <v>N₂ (g)</v>
      </c>
      <c r="AH615" t="s">
        <v>2245</v>
      </c>
      <c r="AI615" t="s">
        <v>2246</v>
      </c>
      <c r="AJ615" t="s">
        <v>2246</v>
      </c>
      <c r="AK615" t="s">
        <v>2247</v>
      </c>
      <c r="AL615" t="s">
        <v>2248</v>
      </c>
      <c r="AS615" t="s">
        <v>47</v>
      </c>
      <c r="AX615" s="6">
        <v>28.013000000000002</v>
      </c>
      <c r="AY615" s="6">
        <v>0</v>
      </c>
      <c r="AZ615" s="6">
        <v>191.61</v>
      </c>
      <c r="BA615" s="6"/>
      <c r="BB615" s="6">
        <v>0</v>
      </c>
      <c r="BC615" s="6"/>
    </row>
    <row r="616" spans="32:55">
      <c r="AF616">
        <f t="shared" si="42"/>
        <v>0</v>
      </c>
      <c r="AG616" t="str">
        <f t="shared" si="43"/>
        <v>NO₂ (g)</v>
      </c>
      <c r="AH616" t="s">
        <v>2249</v>
      </c>
      <c r="AI616" t="s">
        <v>2250</v>
      </c>
      <c r="AJ616" t="s">
        <v>2250</v>
      </c>
      <c r="AL616" t="s">
        <v>2251</v>
      </c>
      <c r="AS616" t="s">
        <v>47</v>
      </c>
      <c r="AX616" s="6">
        <v>46.01</v>
      </c>
      <c r="AY616" s="6">
        <v>33.200000000000003</v>
      </c>
      <c r="AZ616" s="6">
        <v>240.1</v>
      </c>
      <c r="BA616" s="6"/>
      <c r="BB616" s="6">
        <v>51.3</v>
      </c>
      <c r="BC616" s="6"/>
    </row>
    <row r="617" spans="32:55">
      <c r="AF617">
        <f t="shared" si="42"/>
        <v>0</v>
      </c>
      <c r="AG617" t="str">
        <f t="shared" si="43"/>
        <v>NO (g)</v>
      </c>
      <c r="AH617" t="s">
        <v>2252</v>
      </c>
      <c r="AI617" t="s">
        <v>2252</v>
      </c>
      <c r="AJ617" t="s">
        <v>2252</v>
      </c>
      <c r="AL617" t="s">
        <v>2253</v>
      </c>
      <c r="AS617" t="s">
        <v>47</v>
      </c>
      <c r="AX617" s="6">
        <v>30.01</v>
      </c>
      <c r="AY617" s="6">
        <v>91.3</v>
      </c>
      <c r="AZ617" s="6">
        <v>210.8</v>
      </c>
      <c r="BA617" s="6"/>
      <c r="BB617" s="6">
        <v>87.6</v>
      </c>
      <c r="BC617" s="6"/>
    </row>
    <row r="618" spans="32:55">
      <c r="AF618">
        <f t="shared" si="42"/>
        <v>0</v>
      </c>
      <c r="AG618" t="str">
        <f t="shared" si="43"/>
        <v>N₂O (g)</v>
      </c>
      <c r="AH618" t="s">
        <v>46</v>
      </c>
      <c r="AI618" t="s">
        <v>2254</v>
      </c>
      <c r="AJ618" t="s">
        <v>2254</v>
      </c>
      <c r="AK618" t="s">
        <v>2255</v>
      </c>
      <c r="AL618" t="s">
        <v>2256</v>
      </c>
      <c r="AS618" t="s">
        <v>47</v>
      </c>
      <c r="AX618" s="6">
        <v>44.01</v>
      </c>
      <c r="AY618" s="6">
        <v>81.599999999999994</v>
      </c>
      <c r="AZ618" s="6">
        <v>220</v>
      </c>
      <c r="BA618" s="6"/>
      <c r="BB618" s="6">
        <v>103.7</v>
      </c>
      <c r="BC618" s="6"/>
    </row>
    <row r="619" spans="32:55">
      <c r="AF619">
        <f t="shared" si="42"/>
        <v>0</v>
      </c>
      <c r="AG619" t="str">
        <f t="shared" si="43"/>
        <v>N₂O₄ (g)</v>
      </c>
      <c r="AH619" t="s">
        <v>2257</v>
      </c>
      <c r="AI619" t="s">
        <v>2258</v>
      </c>
      <c r="AJ619" t="s">
        <v>2258</v>
      </c>
      <c r="AL619" t="s">
        <v>2259</v>
      </c>
      <c r="AS619" t="s">
        <v>47</v>
      </c>
      <c r="AX619" s="6">
        <v>92.01</v>
      </c>
      <c r="AY619" s="6">
        <v>11.1</v>
      </c>
      <c r="AZ619" s="6">
        <v>304.39999999999998</v>
      </c>
      <c r="BA619" s="6"/>
      <c r="BB619" s="6">
        <v>99.8</v>
      </c>
      <c r="BC619" s="6"/>
    </row>
    <row r="620" spans="32:55">
      <c r="AF620">
        <f t="shared" si="42"/>
        <v>0</v>
      </c>
      <c r="AG620" t="str">
        <f t="shared" si="43"/>
        <v>N₂O₃ (g)</v>
      </c>
      <c r="AH620" t="s">
        <v>2260</v>
      </c>
      <c r="AI620" t="s">
        <v>2261</v>
      </c>
      <c r="AJ620" t="s">
        <v>2261</v>
      </c>
      <c r="AL620" t="s">
        <v>2262</v>
      </c>
      <c r="AS620" t="s">
        <v>47</v>
      </c>
      <c r="AX620" s="6">
        <v>76.010000000000005</v>
      </c>
      <c r="AY620" s="6">
        <v>86.6</v>
      </c>
      <c r="AZ620" s="6">
        <v>314.7</v>
      </c>
      <c r="BA620" s="6"/>
      <c r="BB620" s="6">
        <v>142.4</v>
      </c>
      <c r="BC620" s="6"/>
    </row>
    <row r="621" spans="32:55">
      <c r="AF621">
        <f t="shared" si="42"/>
        <v>0</v>
      </c>
      <c r="AG621" t="str">
        <f t="shared" si="43"/>
        <v>N₂O₅ (s)</v>
      </c>
      <c r="AH621" t="s">
        <v>2263</v>
      </c>
      <c r="AI621" t="s">
        <v>2264</v>
      </c>
      <c r="AJ621" t="s">
        <v>2264</v>
      </c>
      <c r="AL621" t="s">
        <v>2265</v>
      </c>
      <c r="AS621" t="s">
        <v>160</v>
      </c>
      <c r="AX621" s="6">
        <v>108.01</v>
      </c>
      <c r="AY621" s="6">
        <v>-43.1</v>
      </c>
      <c r="AZ621" s="6">
        <v>178.2</v>
      </c>
      <c r="BA621" s="6"/>
      <c r="BB621" s="6">
        <v>113.9</v>
      </c>
      <c r="BC621" s="6"/>
    </row>
    <row r="622" spans="32:55">
      <c r="AF622">
        <f t="shared" si="42"/>
        <v>0</v>
      </c>
      <c r="AG622" t="str">
        <f t="shared" si="43"/>
        <v>NH₃ (g)</v>
      </c>
      <c r="AH622" t="s">
        <v>2266</v>
      </c>
      <c r="AI622" t="s">
        <v>2267</v>
      </c>
      <c r="AJ622" t="s">
        <v>2267</v>
      </c>
      <c r="AL622" t="s">
        <v>2268</v>
      </c>
      <c r="AS622" t="s">
        <v>47</v>
      </c>
      <c r="AX622" s="6">
        <v>17.03</v>
      </c>
      <c r="AY622" s="6">
        <v>-45.9</v>
      </c>
      <c r="AZ622" s="6">
        <v>192.8</v>
      </c>
      <c r="BA622" s="6"/>
      <c r="BB622" s="6">
        <v>-16.399999999999999</v>
      </c>
      <c r="BC622" s="6"/>
    </row>
    <row r="623" spans="32:55">
      <c r="AF623">
        <f t="shared" si="42"/>
        <v>0</v>
      </c>
      <c r="AG623" t="str">
        <f t="shared" si="43"/>
        <v>NH₃ (aq)</v>
      </c>
      <c r="AH623" t="s">
        <v>2266</v>
      </c>
      <c r="AI623" t="s">
        <v>2267</v>
      </c>
      <c r="AJ623" t="s">
        <v>2267</v>
      </c>
      <c r="AL623" t="s">
        <v>2268</v>
      </c>
      <c r="AS623" t="s">
        <v>48</v>
      </c>
      <c r="AX623" s="6">
        <v>17.03</v>
      </c>
      <c r="AY623" s="6">
        <v>-80.290000000000006</v>
      </c>
      <c r="AZ623" s="6">
        <v>111.3</v>
      </c>
      <c r="BA623" s="6"/>
      <c r="BB623" s="6">
        <v>-26.6</v>
      </c>
      <c r="BC623" s="6"/>
    </row>
    <row r="624" spans="32:55">
      <c r="AF624">
        <f t="shared" si="42"/>
        <v>0</v>
      </c>
      <c r="AG624" t="str">
        <f t="shared" si="43"/>
        <v>NH₄⁺ (aq)</v>
      </c>
      <c r="AH624" t="s">
        <v>2269</v>
      </c>
      <c r="AI624" t="s">
        <v>2270</v>
      </c>
      <c r="AJ624" t="s">
        <v>2270</v>
      </c>
      <c r="AL624" t="s">
        <v>2271</v>
      </c>
      <c r="AS624" t="s">
        <v>48</v>
      </c>
      <c r="AX624" s="6">
        <v>18.04</v>
      </c>
      <c r="AY624" s="6">
        <v>-132.5</v>
      </c>
      <c r="AZ624" s="6">
        <v>113.4</v>
      </c>
      <c r="BA624" s="6"/>
      <c r="BB624" s="6">
        <v>-79.3</v>
      </c>
      <c r="BC624" s="6"/>
    </row>
    <row r="625" spans="32:55">
      <c r="AF625">
        <f t="shared" si="42"/>
        <v>0</v>
      </c>
      <c r="AG625" t="str">
        <f t="shared" si="43"/>
        <v/>
      </c>
      <c r="AH625" t="s">
        <v>2272</v>
      </c>
      <c r="AI625" t="s">
        <v>2273</v>
      </c>
      <c r="AJ625" t="s">
        <v>2274</v>
      </c>
      <c r="AL625" t="s">
        <v>2275</v>
      </c>
      <c r="AS625" t="s">
        <v>220</v>
      </c>
      <c r="AX625" s="6">
        <v>114.1</v>
      </c>
      <c r="AY625" s="6" t="s">
        <v>168</v>
      </c>
      <c r="AZ625" s="6" t="s">
        <v>168</v>
      </c>
      <c r="BA625" s="6"/>
      <c r="BB625" s="6" t="s">
        <v>168</v>
      </c>
      <c r="BC625" s="6"/>
    </row>
    <row r="626" spans="32:55">
      <c r="AF626">
        <f t="shared" si="42"/>
        <v>0</v>
      </c>
      <c r="AG626" t="str">
        <f t="shared" si="43"/>
        <v>NH₄Cl (s)</v>
      </c>
      <c r="AH626" t="s">
        <v>2276</v>
      </c>
      <c r="AI626" t="s">
        <v>2277</v>
      </c>
      <c r="AJ626" t="s">
        <v>2277</v>
      </c>
      <c r="AK626" t="s">
        <v>2278</v>
      </c>
      <c r="AL626" t="s">
        <v>2279</v>
      </c>
      <c r="AS626" t="s">
        <v>160</v>
      </c>
      <c r="AX626" s="6">
        <v>53.49</v>
      </c>
      <c r="AY626" s="6">
        <v>-314.39999999999998</v>
      </c>
      <c r="AZ626" s="6">
        <v>94.6</v>
      </c>
      <c r="BA626" s="6"/>
      <c r="BB626" s="6">
        <v>-202.9</v>
      </c>
      <c r="BC626" s="6"/>
    </row>
    <row r="627" spans="32:55">
      <c r="AF627">
        <f t="shared" si="42"/>
        <v>0</v>
      </c>
      <c r="AG627" t="str">
        <f t="shared" si="43"/>
        <v/>
      </c>
      <c r="AH627" t="s">
        <v>2280</v>
      </c>
      <c r="AI627" t="s">
        <v>2281</v>
      </c>
      <c r="AJ627" t="s">
        <v>2282</v>
      </c>
      <c r="AL627" t="s">
        <v>2283</v>
      </c>
      <c r="AS627" t="s">
        <v>220</v>
      </c>
      <c r="AX627" s="6">
        <v>152.08000000000001</v>
      </c>
      <c r="AY627" s="6" t="s">
        <v>168</v>
      </c>
      <c r="AZ627" s="6" t="s">
        <v>168</v>
      </c>
      <c r="BA627" s="6"/>
      <c r="BB627" s="6" t="s">
        <v>168</v>
      </c>
      <c r="BC627" s="6"/>
    </row>
    <row r="628" spans="32:55">
      <c r="AF628">
        <f t="shared" si="42"/>
        <v>0</v>
      </c>
      <c r="AG628" t="str">
        <f t="shared" si="43"/>
        <v/>
      </c>
      <c r="AH628" t="s">
        <v>2284</v>
      </c>
      <c r="AI628" t="s">
        <v>2285</v>
      </c>
      <c r="AJ628" t="s">
        <v>2286</v>
      </c>
      <c r="AL628" t="s">
        <v>2287</v>
      </c>
      <c r="AS628" t="s">
        <v>220</v>
      </c>
      <c r="AX628" s="6">
        <v>252.08</v>
      </c>
      <c r="AY628" s="6" t="s">
        <v>168</v>
      </c>
      <c r="AZ628" s="6" t="s">
        <v>168</v>
      </c>
      <c r="BA628" s="6"/>
      <c r="BB628" s="6" t="s">
        <v>168</v>
      </c>
      <c r="BC628" s="6"/>
    </row>
    <row r="629" spans="32:55">
      <c r="AF629">
        <f t="shared" si="42"/>
        <v>0</v>
      </c>
      <c r="AG629" t="str">
        <f t="shared" si="43"/>
        <v/>
      </c>
      <c r="AH629" t="s">
        <v>2288</v>
      </c>
      <c r="AI629" t="s">
        <v>2289</v>
      </c>
      <c r="AJ629" t="s">
        <v>2289</v>
      </c>
      <c r="AK629" t="s">
        <v>2290</v>
      </c>
      <c r="AL629" t="s">
        <v>2291</v>
      </c>
      <c r="AS629" t="s">
        <v>220</v>
      </c>
      <c r="AX629" s="6">
        <v>79.06</v>
      </c>
      <c r="AY629" s="6" t="s">
        <v>168</v>
      </c>
      <c r="AZ629" s="6" t="s">
        <v>168</v>
      </c>
      <c r="BA629" s="6"/>
      <c r="BB629" s="6" t="s">
        <v>168</v>
      </c>
      <c r="BC629" s="6"/>
    </row>
    <row r="630" spans="32:55">
      <c r="AF630">
        <f t="shared" si="42"/>
        <v>0</v>
      </c>
      <c r="AG630" t="str">
        <f t="shared" si="43"/>
        <v>NH₄HS (s)</v>
      </c>
      <c r="AH630" t="s">
        <v>2292</v>
      </c>
      <c r="AI630" t="s">
        <v>2293</v>
      </c>
      <c r="AJ630" t="s">
        <v>2293</v>
      </c>
      <c r="AL630" t="s">
        <v>2294</v>
      </c>
      <c r="AS630" t="s">
        <v>160</v>
      </c>
      <c r="AX630" s="6">
        <v>51.11</v>
      </c>
      <c r="AY630" s="6">
        <v>-156.9</v>
      </c>
      <c r="AZ630" s="6">
        <v>97.5</v>
      </c>
      <c r="BA630" s="6"/>
      <c r="BB630" s="6">
        <v>-50.6</v>
      </c>
      <c r="BC630" s="6"/>
    </row>
    <row r="631" spans="32:55">
      <c r="AF631">
        <f t="shared" si="42"/>
        <v>0</v>
      </c>
      <c r="AG631" t="str">
        <f t="shared" si="43"/>
        <v>NH₄HSO₄ (s)</v>
      </c>
      <c r="AH631" t="s">
        <v>2295</v>
      </c>
      <c r="AI631" t="s">
        <v>2296</v>
      </c>
      <c r="AJ631" t="s">
        <v>2296</v>
      </c>
      <c r="AL631" t="s">
        <v>2297</v>
      </c>
      <c r="AS631" t="s">
        <v>160</v>
      </c>
      <c r="AX631" s="6">
        <v>115.11</v>
      </c>
      <c r="AY631" s="6">
        <v>-1027</v>
      </c>
      <c r="AZ631" s="6" t="s">
        <v>168</v>
      </c>
      <c r="BA631" s="6"/>
      <c r="BB631" s="6" t="s">
        <v>168</v>
      </c>
      <c r="BC631" s="6"/>
    </row>
    <row r="632" spans="32:55">
      <c r="AF632">
        <f t="shared" si="42"/>
        <v>0</v>
      </c>
      <c r="AG632" t="str">
        <f t="shared" si="43"/>
        <v/>
      </c>
      <c r="AH632" t="s">
        <v>2298</v>
      </c>
      <c r="AI632" t="s">
        <v>2299</v>
      </c>
      <c r="AJ632" t="s">
        <v>2300</v>
      </c>
      <c r="AL632" t="s">
        <v>2301</v>
      </c>
      <c r="AS632" t="s">
        <v>220</v>
      </c>
      <c r="AX632" s="6">
        <v>392.14</v>
      </c>
      <c r="AY632" s="6" t="s">
        <v>168</v>
      </c>
      <c r="AZ632" s="6" t="s">
        <v>168</v>
      </c>
      <c r="BA632" s="6"/>
      <c r="BB632" s="6" t="s">
        <v>168</v>
      </c>
      <c r="BC632" s="6"/>
    </row>
    <row r="633" spans="32:55">
      <c r="AF633">
        <f t="shared" si="42"/>
        <v>0</v>
      </c>
      <c r="AG633" t="str">
        <f t="shared" si="43"/>
        <v/>
      </c>
      <c r="AH633" t="s">
        <v>2302</v>
      </c>
      <c r="AI633" t="s">
        <v>2303</v>
      </c>
      <c r="AJ633" t="s">
        <v>2304</v>
      </c>
      <c r="AL633" t="s">
        <v>2305</v>
      </c>
      <c r="AS633" t="s">
        <v>220</v>
      </c>
      <c r="AX633" s="6">
        <v>482.19</v>
      </c>
      <c r="AY633" s="6" t="s">
        <v>168</v>
      </c>
      <c r="AZ633" s="6" t="s">
        <v>168</v>
      </c>
      <c r="BA633" s="6"/>
      <c r="BB633" s="6" t="s">
        <v>168</v>
      </c>
      <c r="BC633" s="6"/>
    </row>
    <row r="634" spans="32:55">
      <c r="AF634">
        <f t="shared" si="42"/>
        <v>0</v>
      </c>
      <c r="AG634" t="str">
        <f t="shared" si="43"/>
        <v/>
      </c>
      <c r="AH634" t="s">
        <v>2306</v>
      </c>
      <c r="AI634" t="s">
        <v>2307</v>
      </c>
      <c r="AJ634" t="s">
        <v>2308</v>
      </c>
      <c r="AL634" t="s">
        <v>2309</v>
      </c>
      <c r="AS634" t="s">
        <v>220</v>
      </c>
      <c r="AX634" s="6">
        <v>196.01</v>
      </c>
      <c r="AY634" s="6" t="s">
        <v>168</v>
      </c>
      <c r="AZ634" s="6" t="s">
        <v>168</v>
      </c>
      <c r="BA634" s="6"/>
      <c r="BB634" s="6" t="s">
        <v>168</v>
      </c>
      <c r="BC634" s="6"/>
    </row>
    <row r="635" spans="32:55">
      <c r="AF635">
        <f t="shared" si="42"/>
        <v>0</v>
      </c>
      <c r="AG635" t="str">
        <f t="shared" si="43"/>
        <v>NH₄NO₃ (s)</v>
      </c>
      <c r="AH635" t="s">
        <v>2310</v>
      </c>
      <c r="AI635" t="s">
        <v>2311</v>
      </c>
      <c r="AJ635" t="s">
        <v>2311</v>
      </c>
      <c r="AK635" t="s">
        <v>2312</v>
      </c>
      <c r="AL635" t="s">
        <v>2313</v>
      </c>
      <c r="AS635" t="s">
        <v>160</v>
      </c>
      <c r="AX635" s="6">
        <v>80.040000000000006</v>
      </c>
      <c r="AY635" s="6">
        <v>-365.6</v>
      </c>
      <c r="AZ635" s="6">
        <v>151.1</v>
      </c>
      <c r="BA635" s="6"/>
      <c r="BB635" s="6">
        <v>-183.9</v>
      </c>
      <c r="BC635" s="6"/>
    </row>
    <row r="636" spans="32:55">
      <c r="AF636">
        <f t="shared" si="42"/>
        <v>0</v>
      </c>
      <c r="AG636" t="str">
        <f t="shared" si="43"/>
        <v>NH₄NO₂ (s)</v>
      </c>
      <c r="AH636" t="s">
        <v>2314</v>
      </c>
      <c r="AI636" t="s">
        <v>2315</v>
      </c>
      <c r="AJ636" t="s">
        <v>2315</v>
      </c>
      <c r="AL636" t="s">
        <v>2316</v>
      </c>
      <c r="AS636" t="s">
        <v>160</v>
      </c>
      <c r="AX636" s="6">
        <v>64.040000000000006</v>
      </c>
      <c r="AY636" s="6">
        <v>-256.5</v>
      </c>
      <c r="AZ636" s="6" t="s">
        <v>168</v>
      </c>
      <c r="BA636" s="6"/>
      <c r="BB636" s="6" t="s">
        <v>168</v>
      </c>
      <c r="BC636" s="6"/>
    </row>
    <row r="637" spans="32:55">
      <c r="AF637">
        <f t="shared" si="42"/>
        <v>0</v>
      </c>
      <c r="AG637" t="str">
        <f t="shared" si="43"/>
        <v/>
      </c>
      <c r="AH637" t="s">
        <v>2317</v>
      </c>
      <c r="AI637" t="s">
        <v>2318</v>
      </c>
      <c r="AJ637" t="s">
        <v>2319</v>
      </c>
      <c r="AK637" t="s">
        <v>2320</v>
      </c>
      <c r="AL637" t="s">
        <v>2321</v>
      </c>
      <c r="AS637" t="s">
        <v>220</v>
      </c>
      <c r="AX637" s="6">
        <v>1235.8599999999999</v>
      </c>
      <c r="AY637" s="6" t="s">
        <v>168</v>
      </c>
      <c r="AZ637" s="6" t="s">
        <v>168</v>
      </c>
      <c r="BA637" s="6"/>
      <c r="BB637" s="6" t="s">
        <v>168</v>
      </c>
      <c r="BC637" s="6"/>
    </row>
    <row r="638" spans="32:55">
      <c r="AF638">
        <f t="shared" si="42"/>
        <v>0</v>
      </c>
      <c r="AG638" t="str">
        <f t="shared" si="43"/>
        <v/>
      </c>
      <c r="AH638" t="s">
        <v>2322</v>
      </c>
      <c r="AI638" t="s">
        <v>2323</v>
      </c>
      <c r="AJ638" t="s">
        <v>2324</v>
      </c>
      <c r="AL638" t="s">
        <v>2325</v>
      </c>
      <c r="AS638" t="s">
        <v>220</v>
      </c>
      <c r="AX638" s="6">
        <v>228.2</v>
      </c>
      <c r="AY638" s="6" t="s">
        <v>168</v>
      </c>
      <c r="AZ638" s="6" t="s">
        <v>168</v>
      </c>
      <c r="BA638" s="6"/>
      <c r="BB638" s="6" t="s">
        <v>168</v>
      </c>
      <c r="BC638" s="6"/>
    </row>
    <row r="639" spans="32:55">
      <c r="AF639">
        <f t="shared" si="42"/>
        <v>0</v>
      </c>
      <c r="AG639" t="str">
        <f t="shared" si="43"/>
        <v>(NH₄)₂SO₄ (s)</v>
      </c>
      <c r="AH639" t="s">
        <v>2326</v>
      </c>
      <c r="AI639" t="s">
        <v>2327</v>
      </c>
      <c r="AJ639" t="s">
        <v>2328</v>
      </c>
      <c r="AL639" t="s">
        <v>2329</v>
      </c>
      <c r="AS639" t="s">
        <v>160</v>
      </c>
      <c r="AX639" s="6">
        <v>132.13999999999999</v>
      </c>
      <c r="AY639" s="6">
        <v>-1180.9000000000001</v>
      </c>
      <c r="AZ639" s="6">
        <v>220.1</v>
      </c>
      <c r="BA639" s="6"/>
      <c r="BB639" s="6">
        <v>-901.9</v>
      </c>
      <c r="BC639" s="6"/>
    </row>
    <row r="640" spans="32:55">
      <c r="AF640">
        <f t="shared" si="42"/>
        <v>0</v>
      </c>
      <c r="AG640" t="str">
        <f t="shared" si="43"/>
        <v>NH₄SCN (s)</v>
      </c>
      <c r="AH640" t="s">
        <v>2330</v>
      </c>
      <c r="AI640" t="s">
        <v>2331</v>
      </c>
      <c r="AJ640" t="s">
        <v>2331</v>
      </c>
      <c r="AL640" t="s">
        <v>2332</v>
      </c>
      <c r="AS640" t="s">
        <v>160</v>
      </c>
      <c r="AX640" s="6">
        <v>76.12</v>
      </c>
      <c r="AY640" s="6">
        <v>-79</v>
      </c>
      <c r="AZ640" s="6" t="s">
        <v>168</v>
      </c>
      <c r="BA640" s="6"/>
      <c r="BB640" s="6" t="s">
        <v>168</v>
      </c>
      <c r="BC640" s="6"/>
    </row>
    <row r="641" spans="32:55">
      <c r="AF641">
        <f t="shared" si="42"/>
        <v>0</v>
      </c>
      <c r="AG641" t="str">
        <f t="shared" si="43"/>
        <v/>
      </c>
      <c r="AH641" t="s">
        <v>2333</v>
      </c>
      <c r="AI641" t="s">
        <v>2334</v>
      </c>
      <c r="AJ641" t="s">
        <v>2334</v>
      </c>
      <c r="AL641" t="s">
        <v>2335</v>
      </c>
      <c r="AS641" t="s">
        <v>220</v>
      </c>
      <c r="AX641" s="6">
        <v>116.98</v>
      </c>
      <c r="AY641" s="6" t="s">
        <v>168</v>
      </c>
      <c r="AZ641" s="6" t="s">
        <v>168</v>
      </c>
      <c r="BA641" s="6"/>
      <c r="BB641" s="6" t="s">
        <v>168</v>
      </c>
      <c r="BC641" s="6"/>
    </row>
    <row r="642" spans="32:55">
      <c r="AF642">
        <f t="shared" si="42"/>
        <v>0</v>
      </c>
      <c r="AG642" t="str">
        <f t="shared" si="43"/>
        <v>NH₂NH₂ (l)</v>
      </c>
      <c r="AH642" t="s">
        <v>2336</v>
      </c>
      <c r="AI642" t="s">
        <v>2337</v>
      </c>
      <c r="AJ642" t="s">
        <v>2337</v>
      </c>
      <c r="AL642" t="s">
        <v>2338</v>
      </c>
      <c r="AS642" t="s">
        <v>239</v>
      </c>
      <c r="AX642" s="6">
        <v>32.049999999999997</v>
      </c>
      <c r="AY642" s="6">
        <v>50.6</v>
      </c>
      <c r="AZ642" s="6">
        <v>121.2</v>
      </c>
      <c r="BA642" s="6"/>
      <c r="BB642" s="6">
        <v>149.30000000000001</v>
      </c>
      <c r="BC642" s="6"/>
    </row>
    <row r="643" spans="32:55">
      <c r="AF643">
        <f t="shared" ref="AF643:AF706" si="44">IF(OR(AG643="",COUNTIF(AG:AG, AG643) = 1),0, "1")</f>
        <v>0</v>
      </c>
      <c r="AG643" t="str">
        <f t="shared" ref="AG643:AG706" si="45">IF(AS643 &lt;&gt; "",AH643&amp;" ("&amp;AS643 &amp;")","")</f>
        <v>NH₂NH₂ (aq)</v>
      </c>
      <c r="AH643" t="s">
        <v>2336</v>
      </c>
      <c r="AI643" t="s">
        <v>2337</v>
      </c>
      <c r="AJ643" t="s">
        <v>2337</v>
      </c>
      <c r="AL643" t="s">
        <v>2338</v>
      </c>
      <c r="AS643" t="s">
        <v>48</v>
      </c>
      <c r="AX643" s="6">
        <v>32.049999999999997</v>
      </c>
      <c r="AY643" s="6">
        <v>34.299999999999997</v>
      </c>
      <c r="AZ643" s="6">
        <v>140</v>
      </c>
      <c r="BA643" s="6"/>
      <c r="BB643" s="6">
        <v>128</v>
      </c>
      <c r="BC643" s="6"/>
    </row>
    <row r="644" spans="32:55">
      <c r="AF644">
        <f t="shared" si="44"/>
        <v>0</v>
      </c>
      <c r="AG644" t="str">
        <f t="shared" si="45"/>
        <v>NH₂NH₃⁺ (aq)</v>
      </c>
      <c r="AH644" t="s">
        <v>2339</v>
      </c>
      <c r="AI644" t="s">
        <v>2340</v>
      </c>
      <c r="AJ644" t="s">
        <v>2340</v>
      </c>
      <c r="AL644" t="s">
        <v>2341</v>
      </c>
      <c r="AS644" t="s">
        <v>48</v>
      </c>
      <c r="AX644" s="6">
        <v>33.06</v>
      </c>
      <c r="AY644" s="6">
        <v>-7.5</v>
      </c>
      <c r="AZ644" s="6">
        <v>151</v>
      </c>
      <c r="BA644" s="6"/>
      <c r="BB644" s="6">
        <v>82.5</v>
      </c>
      <c r="BC644" s="6"/>
    </row>
    <row r="645" spans="32:55">
      <c r="AF645">
        <f t="shared" si="44"/>
        <v>0</v>
      </c>
      <c r="AG645" t="str">
        <f t="shared" si="45"/>
        <v>NH₂-NH₃Cl (s)</v>
      </c>
      <c r="AH645" t="s">
        <v>2342</v>
      </c>
      <c r="AI645" t="s">
        <v>2343</v>
      </c>
      <c r="AJ645" t="s">
        <v>2343</v>
      </c>
      <c r="AL645" t="s">
        <v>2344</v>
      </c>
      <c r="AS645" t="s">
        <v>160</v>
      </c>
      <c r="AX645" s="6">
        <v>68.510000000000005</v>
      </c>
      <c r="AY645" s="6">
        <v>-196.7</v>
      </c>
      <c r="AZ645" s="6" t="s">
        <v>168</v>
      </c>
      <c r="BA645" s="6"/>
      <c r="BB645" s="6" t="s">
        <v>168</v>
      </c>
      <c r="BC645" s="6"/>
    </row>
    <row r="646" spans="32:55">
      <c r="AF646">
        <f t="shared" si="44"/>
        <v>0</v>
      </c>
      <c r="AG646" t="str">
        <f t="shared" si="45"/>
        <v/>
      </c>
      <c r="AH646" t="s">
        <v>2345</v>
      </c>
      <c r="AI646" t="s">
        <v>2346</v>
      </c>
      <c r="AJ646" t="s">
        <v>2346</v>
      </c>
      <c r="AL646" t="s">
        <v>2347</v>
      </c>
      <c r="AS646" t="s">
        <v>220</v>
      </c>
      <c r="AX646" s="6">
        <v>104.97</v>
      </c>
      <c r="AY646" s="6" t="s">
        <v>168</v>
      </c>
      <c r="AZ646" s="6" t="s">
        <v>168</v>
      </c>
      <c r="BA646" s="6"/>
      <c r="BB646" s="6" t="s">
        <v>168</v>
      </c>
      <c r="BC646" s="6"/>
    </row>
    <row r="647" spans="32:55">
      <c r="AF647">
        <f t="shared" si="44"/>
        <v>0</v>
      </c>
      <c r="AG647" t="str">
        <f t="shared" si="45"/>
        <v/>
      </c>
      <c r="AH647" t="s">
        <v>2348</v>
      </c>
      <c r="AI647" t="s">
        <v>2349</v>
      </c>
      <c r="AJ647" t="s">
        <v>2350</v>
      </c>
      <c r="AL647" t="s">
        <v>2351</v>
      </c>
      <c r="AS647" t="s">
        <v>220</v>
      </c>
      <c r="AX647" s="6">
        <v>130.13</v>
      </c>
      <c r="AY647" s="6" t="s">
        <v>168</v>
      </c>
      <c r="AZ647" s="6" t="s">
        <v>168</v>
      </c>
      <c r="BA647" s="6"/>
      <c r="BB647" s="6" t="s">
        <v>168</v>
      </c>
      <c r="BC647" s="6"/>
    </row>
    <row r="648" spans="32:55">
      <c r="AF648">
        <f t="shared" si="44"/>
        <v>0</v>
      </c>
      <c r="AG648" t="str">
        <f t="shared" si="45"/>
        <v>HN₃ (l)</v>
      </c>
      <c r="AH648" t="s">
        <v>2352</v>
      </c>
      <c r="AI648" t="s">
        <v>2353</v>
      </c>
      <c r="AJ648" t="s">
        <v>2353</v>
      </c>
      <c r="AL648" t="s">
        <v>2354</v>
      </c>
      <c r="AS648" t="s">
        <v>239</v>
      </c>
      <c r="AX648" s="6">
        <v>43.03</v>
      </c>
      <c r="AY648" s="6">
        <v>264</v>
      </c>
      <c r="AZ648" s="6">
        <v>141</v>
      </c>
      <c r="BA648" s="6"/>
      <c r="BB648" s="6">
        <v>327</v>
      </c>
      <c r="BC648" s="6"/>
    </row>
    <row r="649" spans="32:55">
      <c r="AF649">
        <f t="shared" si="44"/>
        <v>0</v>
      </c>
      <c r="AG649" t="str">
        <f t="shared" si="45"/>
        <v>NH₂OH (s)</v>
      </c>
      <c r="AH649" t="s">
        <v>2355</v>
      </c>
      <c r="AI649" t="s">
        <v>2356</v>
      </c>
      <c r="AJ649" t="s">
        <v>2356</v>
      </c>
      <c r="AL649" t="s">
        <v>2357</v>
      </c>
      <c r="AS649" t="s">
        <v>160</v>
      </c>
      <c r="AX649" s="6">
        <v>33.03</v>
      </c>
      <c r="AY649" s="6">
        <v>-114</v>
      </c>
      <c r="AZ649" s="6" t="s">
        <v>168</v>
      </c>
      <c r="BA649" s="6"/>
      <c r="BB649" s="6" t="s">
        <v>168</v>
      </c>
      <c r="BC649" s="6"/>
    </row>
    <row r="650" spans="32:55">
      <c r="AF650">
        <f t="shared" si="44"/>
        <v>0</v>
      </c>
      <c r="AG650" t="str">
        <f t="shared" si="45"/>
        <v>NH₂OH⁺ (aq)</v>
      </c>
      <c r="AH650" t="s">
        <v>2358</v>
      </c>
      <c r="AI650" t="s">
        <v>2359</v>
      </c>
      <c r="AJ650" t="s">
        <v>2359</v>
      </c>
      <c r="AL650" t="s">
        <v>2357</v>
      </c>
      <c r="AS650" t="s">
        <v>48</v>
      </c>
      <c r="AX650" s="6">
        <v>33.03</v>
      </c>
      <c r="AY650" s="6">
        <v>-98.3</v>
      </c>
      <c r="AZ650" s="6">
        <v>167</v>
      </c>
      <c r="BA650" s="6"/>
      <c r="BB650" s="6">
        <v>23.4</v>
      </c>
      <c r="BC650" s="6"/>
    </row>
    <row r="651" spans="32:55">
      <c r="AF651">
        <f t="shared" si="44"/>
        <v>0</v>
      </c>
      <c r="AG651" t="str">
        <f t="shared" si="45"/>
        <v>NH₃OH (aq)</v>
      </c>
      <c r="AH651" t="s">
        <v>2360</v>
      </c>
      <c r="AI651" t="s">
        <v>2361</v>
      </c>
      <c r="AJ651" t="s">
        <v>2361</v>
      </c>
      <c r="AL651" t="s">
        <v>2362</v>
      </c>
      <c r="AS651" t="s">
        <v>48</v>
      </c>
      <c r="AX651" s="6">
        <v>34.04</v>
      </c>
      <c r="AY651" s="6">
        <v>-137</v>
      </c>
      <c r="AZ651" s="6">
        <v>155</v>
      </c>
      <c r="BA651" s="6"/>
      <c r="BB651" s="6">
        <v>-56.65</v>
      </c>
      <c r="BC651" s="6"/>
    </row>
    <row r="652" spans="32:55">
      <c r="AF652">
        <f t="shared" si="44"/>
        <v>0</v>
      </c>
      <c r="AG652" t="str">
        <f t="shared" si="45"/>
        <v>(NH₃OH)Cl (s)</v>
      </c>
      <c r="AH652" t="s">
        <v>2363</v>
      </c>
      <c r="AI652" t="s">
        <v>2364</v>
      </c>
      <c r="AJ652" t="s">
        <v>2365</v>
      </c>
      <c r="AL652" t="s">
        <v>2366</v>
      </c>
      <c r="AS652" t="s">
        <v>160</v>
      </c>
      <c r="AX652" s="6">
        <v>69.489999999999995</v>
      </c>
      <c r="AY652" s="6">
        <v>-317.60000000000002</v>
      </c>
      <c r="AZ652" s="6" t="s">
        <v>168</v>
      </c>
      <c r="BA652" s="6"/>
      <c r="BB652" s="6" t="s">
        <v>168</v>
      </c>
      <c r="BC652" s="6"/>
    </row>
    <row r="653" spans="32:55">
      <c r="AF653">
        <f t="shared" si="44"/>
        <v>0</v>
      </c>
      <c r="AG653" t="str">
        <f t="shared" si="45"/>
        <v/>
      </c>
      <c r="AH653" t="s">
        <v>2367</v>
      </c>
      <c r="AI653" t="s">
        <v>2368</v>
      </c>
      <c r="AJ653" t="s">
        <v>2369</v>
      </c>
      <c r="AL653" t="s">
        <v>2370</v>
      </c>
      <c r="AS653" t="s">
        <v>220</v>
      </c>
      <c r="AX653" s="6">
        <v>164.14</v>
      </c>
      <c r="AY653" s="6" t="s">
        <v>168</v>
      </c>
      <c r="AZ653" s="6" t="s">
        <v>168</v>
      </c>
      <c r="BA653" s="6"/>
      <c r="BB653" s="6" t="s">
        <v>168</v>
      </c>
      <c r="BC653" s="6"/>
    </row>
    <row r="654" spans="32:55">
      <c r="AF654">
        <f t="shared" si="44"/>
        <v>0</v>
      </c>
      <c r="AG654" t="str">
        <f t="shared" si="45"/>
        <v>NO₃⁻ (aq)</v>
      </c>
      <c r="AH654" t="s">
        <v>2371</v>
      </c>
      <c r="AI654" t="s">
        <v>2372</v>
      </c>
      <c r="AJ654" t="s">
        <v>2372</v>
      </c>
      <c r="AL654" t="s">
        <v>2373</v>
      </c>
      <c r="AS654" t="s">
        <v>48</v>
      </c>
      <c r="AX654" s="6">
        <v>62</v>
      </c>
      <c r="AY654" s="6">
        <v>-207.4</v>
      </c>
      <c r="AZ654" s="6">
        <v>146.4</v>
      </c>
      <c r="BA654" s="6"/>
      <c r="BB654" s="6">
        <v>-111.3</v>
      </c>
      <c r="BC654" s="6"/>
    </row>
    <row r="655" spans="32:55">
      <c r="AF655">
        <f t="shared" si="44"/>
        <v>0</v>
      </c>
      <c r="AG655" t="str">
        <f t="shared" si="45"/>
        <v>NO₂⁻ (aq)</v>
      </c>
      <c r="AH655" t="s">
        <v>2374</v>
      </c>
      <c r="AI655" t="s">
        <v>2375</v>
      </c>
      <c r="AJ655" t="s">
        <v>2375</v>
      </c>
      <c r="AL655" t="s">
        <v>2376</v>
      </c>
      <c r="AS655" t="s">
        <v>48</v>
      </c>
      <c r="AX655" s="6">
        <v>46</v>
      </c>
      <c r="AY655" s="6">
        <v>-104.6</v>
      </c>
      <c r="AZ655" s="6">
        <v>123</v>
      </c>
      <c r="BA655" s="6"/>
      <c r="BB655" s="6">
        <v>-32.200000000000003</v>
      </c>
      <c r="BC655" s="6"/>
    </row>
    <row r="656" spans="32:55">
      <c r="AF656">
        <f t="shared" si="44"/>
        <v>0</v>
      </c>
      <c r="AG656" t="str">
        <f t="shared" si="45"/>
        <v>ONCl (g)</v>
      </c>
      <c r="AH656" t="s">
        <v>2377</v>
      </c>
      <c r="AI656" t="s">
        <v>2377</v>
      </c>
      <c r="AJ656" t="s">
        <v>2377</v>
      </c>
      <c r="AK656" t="s">
        <v>2378</v>
      </c>
      <c r="AL656" t="s">
        <v>2379</v>
      </c>
      <c r="AS656" t="s">
        <v>47</v>
      </c>
      <c r="AX656" s="6">
        <v>65.459999999999994</v>
      </c>
      <c r="AY656" s="6">
        <v>51.71</v>
      </c>
      <c r="AZ656" s="6">
        <v>261.7</v>
      </c>
      <c r="BA656" s="6"/>
      <c r="BB656" s="6">
        <v>66.12</v>
      </c>
      <c r="BC656" s="6"/>
    </row>
    <row r="657" spans="32:55">
      <c r="AF657">
        <f t="shared" si="44"/>
        <v>0</v>
      </c>
      <c r="AG657" t="str">
        <f t="shared" si="45"/>
        <v>HNO₃ (l)</v>
      </c>
      <c r="AH657" t="s">
        <v>2380</v>
      </c>
      <c r="AI657" t="s">
        <v>2381</v>
      </c>
      <c r="AJ657" t="s">
        <v>2381</v>
      </c>
      <c r="AL657" t="s">
        <v>2382</v>
      </c>
      <c r="AS657" t="s">
        <v>239</v>
      </c>
      <c r="AX657" s="6">
        <v>63.01</v>
      </c>
      <c r="AY657" s="6">
        <v>-174.1</v>
      </c>
      <c r="AZ657" s="6">
        <v>155.6</v>
      </c>
      <c r="BA657" s="6"/>
      <c r="BB657" s="6">
        <v>-80.7</v>
      </c>
      <c r="BC657" s="6"/>
    </row>
    <row r="658" spans="32:55">
      <c r="AF658">
        <f t="shared" si="44"/>
        <v>0</v>
      </c>
      <c r="AG658" t="str">
        <f t="shared" si="45"/>
        <v>HNO₃ (aq)</v>
      </c>
      <c r="AH658" t="s">
        <v>2380</v>
      </c>
      <c r="AI658" t="s">
        <v>2381</v>
      </c>
      <c r="AJ658" t="s">
        <v>2381</v>
      </c>
      <c r="AL658" t="s">
        <v>2382</v>
      </c>
      <c r="AS658" t="s">
        <v>48</v>
      </c>
      <c r="AX658" s="6">
        <v>63.01</v>
      </c>
      <c r="AY658" s="6">
        <v>-207.4</v>
      </c>
      <c r="AZ658" s="6" t="s">
        <v>168</v>
      </c>
      <c r="BA658" s="6"/>
      <c r="BB658" s="6">
        <v>-130.4</v>
      </c>
      <c r="BC658" s="6"/>
    </row>
    <row r="659" spans="32:55">
      <c r="AF659">
        <f t="shared" si="44"/>
        <v>0</v>
      </c>
      <c r="AG659" t="str">
        <f t="shared" si="45"/>
        <v>HNO₂ (aq)</v>
      </c>
      <c r="AH659" t="s">
        <v>2383</v>
      </c>
      <c r="AI659" t="s">
        <v>2384</v>
      </c>
      <c r="AJ659" t="s">
        <v>2384</v>
      </c>
      <c r="AL659" t="s">
        <v>2385</v>
      </c>
      <c r="AS659" t="s">
        <v>48</v>
      </c>
      <c r="AX659" s="6">
        <v>47.01</v>
      </c>
      <c r="AY659" s="6">
        <v>-119</v>
      </c>
      <c r="AZ659" s="6">
        <v>153</v>
      </c>
      <c r="BA659" s="6"/>
      <c r="BB659" s="6">
        <v>-55.6</v>
      </c>
      <c r="BC659" s="6"/>
    </row>
    <row r="660" spans="32:55">
      <c r="AF660">
        <f t="shared" si="44"/>
        <v>0</v>
      </c>
      <c r="AG660" t="str">
        <f t="shared" si="45"/>
        <v>O (g)</v>
      </c>
      <c r="AH660" t="s">
        <v>2386</v>
      </c>
      <c r="AI660" t="s">
        <v>2386</v>
      </c>
      <c r="AJ660" t="s">
        <v>2386</v>
      </c>
      <c r="AL660" t="s">
        <v>2387</v>
      </c>
      <c r="AS660" t="s">
        <v>47</v>
      </c>
      <c r="AX660" s="6">
        <v>16</v>
      </c>
      <c r="AY660" s="6">
        <v>249.18</v>
      </c>
      <c r="AZ660" s="6">
        <v>161.06</v>
      </c>
      <c r="BA660" s="6"/>
      <c r="BB660" s="6">
        <v>231.75</v>
      </c>
      <c r="BC660" s="6"/>
    </row>
    <row r="661" spans="32:55">
      <c r="AF661">
        <f t="shared" si="44"/>
        <v>0</v>
      </c>
      <c r="AG661" t="str">
        <f t="shared" si="45"/>
        <v>O₂ (g)</v>
      </c>
      <c r="AH661" t="s">
        <v>2388</v>
      </c>
      <c r="AI661" t="s">
        <v>2389</v>
      </c>
      <c r="AJ661" t="s">
        <v>2389</v>
      </c>
      <c r="AK661" t="s">
        <v>2390</v>
      </c>
      <c r="AL661" t="s">
        <v>2391</v>
      </c>
      <c r="AS661" t="s">
        <v>47</v>
      </c>
      <c r="AX661" s="6">
        <v>32</v>
      </c>
      <c r="AY661" s="6">
        <v>0</v>
      </c>
      <c r="AZ661" s="6">
        <v>205.15</v>
      </c>
      <c r="BA661" s="6"/>
      <c r="BB661" s="6">
        <v>0</v>
      </c>
      <c r="BC661" s="6"/>
    </row>
    <row r="662" spans="32:55">
      <c r="AF662">
        <f t="shared" si="44"/>
        <v>0</v>
      </c>
      <c r="AG662" t="str">
        <f t="shared" si="45"/>
        <v>O₂ (aq)</v>
      </c>
      <c r="AH662" t="s">
        <v>2388</v>
      </c>
      <c r="AI662" t="s">
        <v>2389</v>
      </c>
      <c r="AJ662" t="s">
        <v>2389</v>
      </c>
      <c r="AL662" t="s">
        <v>2391</v>
      </c>
      <c r="AS662" t="s">
        <v>48</v>
      </c>
      <c r="AX662" s="6">
        <v>32</v>
      </c>
      <c r="AY662" s="6">
        <v>-11.7</v>
      </c>
      <c r="AZ662" s="6">
        <v>110.9</v>
      </c>
      <c r="BA662" s="6"/>
      <c r="BB662" s="6">
        <v>16.3</v>
      </c>
      <c r="BC662" s="6"/>
    </row>
    <row r="663" spans="32:55">
      <c r="AF663">
        <f t="shared" si="44"/>
        <v>0</v>
      </c>
      <c r="AG663" t="str">
        <f t="shared" si="45"/>
        <v>O₃ (g)</v>
      </c>
      <c r="AH663" t="s">
        <v>2392</v>
      </c>
      <c r="AI663" t="s">
        <v>2393</v>
      </c>
      <c r="AJ663" t="s">
        <v>2393</v>
      </c>
      <c r="AK663" t="s">
        <v>2394</v>
      </c>
      <c r="AL663" t="s">
        <v>2395</v>
      </c>
      <c r="AS663" t="s">
        <v>47</v>
      </c>
      <c r="AX663" s="6">
        <v>48</v>
      </c>
      <c r="AY663" s="6">
        <v>142.69999999999999</v>
      </c>
      <c r="AZ663" s="6">
        <v>238.9</v>
      </c>
      <c r="BA663" s="6"/>
      <c r="BB663" s="6">
        <v>163.19999999999999</v>
      </c>
      <c r="BC663" s="6"/>
    </row>
    <row r="664" spans="32:55">
      <c r="AF664">
        <f t="shared" si="44"/>
        <v>0</v>
      </c>
      <c r="AG664" t="str">
        <f t="shared" si="45"/>
        <v>O₃ (aq)</v>
      </c>
      <c r="AH664" t="s">
        <v>2392</v>
      </c>
      <c r="AI664" t="s">
        <v>2393</v>
      </c>
      <c r="AJ664" t="s">
        <v>2393</v>
      </c>
      <c r="AL664" t="s">
        <v>2395</v>
      </c>
      <c r="AS664" t="s">
        <v>48</v>
      </c>
      <c r="AX664" s="6">
        <v>48</v>
      </c>
      <c r="AY664" s="6">
        <v>125.9</v>
      </c>
      <c r="AZ664" s="6" t="s">
        <v>168</v>
      </c>
      <c r="BA664" s="6"/>
      <c r="BB664" s="6" t="s">
        <v>168</v>
      </c>
      <c r="BC664" s="6"/>
    </row>
    <row r="665" spans="32:55">
      <c r="AF665">
        <f t="shared" si="44"/>
        <v>0</v>
      </c>
      <c r="AG665" t="str">
        <f t="shared" si="45"/>
        <v>O²⁻ (g)</v>
      </c>
      <c r="AH665" t="s">
        <v>2396</v>
      </c>
      <c r="AI665" t="s">
        <v>2397</v>
      </c>
      <c r="AJ665" t="s">
        <v>2397</v>
      </c>
      <c r="AL665" t="s">
        <v>2398</v>
      </c>
      <c r="AS665" t="s">
        <v>47</v>
      </c>
      <c r="AX665" s="6">
        <v>16</v>
      </c>
      <c r="AY665" s="6">
        <v>950</v>
      </c>
      <c r="AZ665" s="6" t="s">
        <v>168</v>
      </c>
      <c r="BA665" s="6"/>
      <c r="BB665" s="6" t="s">
        <v>168</v>
      </c>
      <c r="BC665" s="6"/>
    </row>
    <row r="666" spans="32:55">
      <c r="AF666">
        <f t="shared" si="44"/>
        <v>0</v>
      </c>
      <c r="AG666" t="str">
        <f t="shared" si="45"/>
        <v>H₂O (l)</v>
      </c>
      <c r="AH666" t="s">
        <v>2399</v>
      </c>
      <c r="AI666" t="s">
        <v>2400</v>
      </c>
      <c r="AJ666" t="s">
        <v>2400</v>
      </c>
      <c r="AK666" t="s">
        <v>2401</v>
      </c>
      <c r="AL666" t="s">
        <v>2402</v>
      </c>
      <c r="AS666" t="s">
        <v>239</v>
      </c>
      <c r="AX666" s="6">
        <v>18.02</v>
      </c>
      <c r="AY666" s="6">
        <v>-285.83</v>
      </c>
      <c r="AZ666" s="6">
        <v>69.95</v>
      </c>
      <c r="BA666" s="6"/>
      <c r="BB666" s="6">
        <v>-237.13</v>
      </c>
      <c r="BC666" s="6"/>
    </row>
    <row r="667" spans="32:55">
      <c r="AF667">
        <f t="shared" si="44"/>
        <v>0</v>
      </c>
      <c r="AG667" t="str">
        <f t="shared" si="45"/>
        <v>H₂O (g)</v>
      </c>
      <c r="AH667" t="s">
        <v>2399</v>
      </c>
      <c r="AI667" t="s">
        <v>2400</v>
      </c>
      <c r="AJ667" t="s">
        <v>2400</v>
      </c>
      <c r="AL667" t="s">
        <v>2402</v>
      </c>
      <c r="AS667" t="s">
        <v>47</v>
      </c>
      <c r="AX667" s="6">
        <v>18.02</v>
      </c>
      <c r="AY667" s="6">
        <v>-241.8</v>
      </c>
      <c r="AZ667" s="6">
        <v>188.8</v>
      </c>
      <c r="BA667" s="6"/>
      <c r="BB667" s="6">
        <v>-228.6</v>
      </c>
      <c r="BC667" s="6"/>
    </row>
    <row r="668" spans="32:55">
      <c r="AF668">
        <f t="shared" si="44"/>
        <v>0</v>
      </c>
      <c r="AG668" t="str">
        <f t="shared" si="45"/>
        <v>H₂O (s)</v>
      </c>
      <c r="AH668" t="s">
        <v>2399</v>
      </c>
      <c r="AI668" t="s">
        <v>2400</v>
      </c>
      <c r="AJ668" t="s">
        <v>2400</v>
      </c>
      <c r="AL668" t="s">
        <v>2402</v>
      </c>
      <c r="AS668" t="s">
        <v>160</v>
      </c>
      <c r="AX668" s="6">
        <v>18.02</v>
      </c>
      <c r="AY668" s="6">
        <v>-292.8</v>
      </c>
      <c r="AZ668" s="6">
        <v>46.4</v>
      </c>
      <c r="BA668" s="6"/>
      <c r="BB668" s="6" t="s">
        <v>168</v>
      </c>
      <c r="BC668" s="6"/>
    </row>
    <row r="669" spans="32:55">
      <c r="AF669">
        <f t="shared" si="44"/>
        <v>0</v>
      </c>
      <c r="AG669" t="str">
        <f t="shared" si="45"/>
        <v>D₂O (l)</v>
      </c>
      <c r="AH669" t="s">
        <v>1192</v>
      </c>
      <c r="AI669" t="s">
        <v>1193</v>
      </c>
      <c r="AJ669" t="s">
        <v>1193</v>
      </c>
      <c r="AK669" t="s">
        <v>1195</v>
      </c>
      <c r="AL669" t="s">
        <v>2403</v>
      </c>
      <c r="AS669" t="s">
        <v>239</v>
      </c>
      <c r="AX669" s="6">
        <v>20.03</v>
      </c>
      <c r="AY669" s="6">
        <v>-294.60000000000002</v>
      </c>
      <c r="AZ669" s="6">
        <v>75.94</v>
      </c>
      <c r="BA669" s="6"/>
      <c r="BB669" s="6">
        <v>-243.49</v>
      </c>
      <c r="BC669" s="6"/>
    </row>
    <row r="670" spans="32:55">
      <c r="AF670">
        <f t="shared" si="44"/>
        <v>0</v>
      </c>
      <c r="AG670" t="str">
        <f t="shared" si="45"/>
        <v/>
      </c>
      <c r="AH670" t="s">
        <v>2404</v>
      </c>
      <c r="AI670" t="s">
        <v>2405</v>
      </c>
      <c r="AJ670" t="s">
        <v>2405</v>
      </c>
      <c r="AL670" t="s">
        <v>2406</v>
      </c>
      <c r="AS670" t="s">
        <v>220</v>
      </c>
      <c r="AX670" s="6">
        <v>32</v>
      </c>
      <c r="AY670" s="6"/>
      <c r="AZ670" s="6"/>
      <c r="BA670" s="6"/>
      <c r="BB670" s="6"/>
      <c r="BC670" s="6"/>
    </row>
    <row r="671" spans="32:55">
      <c r="AF671">
        <f t="shared" si="44"/>
        <v>0</v>
      </c>
      <c r="AG671" t="str">
        <f t="shared" si="45"/>
        <v>H₂O₂ (l)</v>
      </c>
      <c r="AH671" t="s">
        <v>2407</v>
      </c>
      <c r="AI671" t="s">
        <v>2408</v>
      </c>
      <c r="AJ671" t="s">
        <v>2408</v>
      </c>
      <c r="AL671" t="s">
        <v>2409</v>
      </c>
      <c r="AS671" t="s">
        <v>239</v>
      </c>
      <c r="AX671" s="6">
        <v>34.020000000000003</v>
      </c>
      <c r="AY671" s="6">
        <v>-187.8</v>
      </c>
      <c r="AZ671" s="6">
        <v>109.6</v>
      </c>
      <c r="BA671" s="6"/>
      <c r="BB671" s="6">
        <v>-120.4</v>
      </c>
      <c r="BC671" s="6"/>
    </row>
    <row r="672" spans="32:55">
      <c r="AF672">
        <f t="shared" si="44"/>
        <v>0</v>
      </c>
      <c r="AG672" t="str">
        <f t="shared" si="45"/>
        <v>H₂O₂ (aq)</v>
      </c>
      <c r="AH672" t="s">
        <v>2407</v>
      </c>
      <c r="AI672" t="s">
        <v>2408</v>
      </c>
      <c r="AJ672" t="s">
        <v>2408</v>
      </c>
      <c r="AL672" t="s">
        <v>2409</v>
      </c>
      <c r="AS672" t="s">
        <v>48</v>
      </c>
      <c r="AX672" s="6">
        <v>34.020000000000003</v>
      </c>
      <c r="AY672" s="6">
        <v>-191.17</v>
      </c>
      <c r="AZ672" s="6">
        <v>143.9</v>
      </c>
      <c r="BA672" s="6"/>
      <c r="BB672" s="6">
        <v>-134.9</v>
      </c>
      <c r="BC672" s="6"/>
    </row>
    <row r="673" spans="32:55">
      <c r="AF673">
        <f t="shared" si="44"/>
        <v>0</v>
      </c>
      <c r="AG673" t="str">
        <f t="shared" si="45"/>
        <v>OH⁻ (aq)</v>
      </c>
      <c r="AH673" t="s">
        <v>2410</v>
      </c>
      <c r="AI673" t="s">
        <v>2411</v>
      </c>
      <c r="AJ673" t="s">
        <v>2411</v>
      </c>
      <c r="AL673" t="s">
        <v>2412</v>
      </c>
      <c r="AS673" t="s">
        <v>48</v>
      </c>
      <c r="AX673" s="6">
        <v>17.010000000000002</v>
      </c>
      <c r="AY673" s="6">
        <v>-230.01</v>
      </c>
      <c r="AZ673" s="6">
        <v>-10.9</v>
      </c>
      <c r="BA673" s="6"/>
      <c r="BB673" s="6">
        <v>-157.19999999999999</v>
      </c>
      <c r="BC673" s="6"/>
    </row>
    <row r="674" spans="32:55">
      <c r="AF674">
        <f t="shared" si="44"/>
        <v>0</v>
      </c>
      <c r="AG674" t="str">
        <f t="shared" si="45"/>
        <v>O₂•⁻ (aq)</v>
      </c>
      <c r="AH674" t="s">
        <v>2413</v>
      </c>
      <c r="AI674" t="s">
        <v>2414</v>
      </c>
      <c r="AJ674" t="s">
        <v>2414</v>
      </c>
      <c r="AK674" t="s">
        <v>2415</v>
      </c>
      <c r="AL674" t="s">
        <v>2416</v>
      </c>
      <c r="AS674" t="s">
        <v>48</v>
      </c>
      <c r="AX674" s="6">
        <v>32</v>
      </c>
      <c r="AY674" s="6" t="s">
        <v>168</v>
      </c>
      <c r="AZ674" s="6" t="s">
        <v>168</v>
      </c>
      <c r="BA674" s="6"/>
      <c r="BB674" s="6">
        <v>31.84</v>
      </c>
      <c r="BC674" s="6"/>
    </row>
    <row r="675" spans="32:55">
      <c r="AF675">
        <f t="shared" si="44"/>
        <v>0</v>
      </c>
      <c r="AG675" t="str">
        <f t="shared" si="45"/>
        <v>P₄ (s)</v>
      </c>
      <c r="AH675" t="s">
        <v>2417</v>
      </c>
      <c r="AI675" t="s">
        <v>2418</v>
      </c>
      <c r="AJ675" t="s">
        <v>2418</v>
      </c>
      <c r="AL675" t="s">
        <v>2419</v>
      </c>
      <c r="AS675" t="s">
        <v>160</v>
      </c>
      <c r="AX675" s="6">
        <v>30.97</v>
      </c>
      <c r="AY675" s="6">
        <v>0</v>
      </c>
      <c r="AZ675" s="6">
        <v>41.09</v>
      </c>
      <c r="BA675" s="6"/>
      <c r="BB675" s="6">
        <v>0</v>
      </c>
      <c r="BC675" s="6"/>
    </row>
    <row r="676" spans="32:55">
      <c r="AF676">
        <f t="shared" si="44"/>
        <v>0</v>
      </c>
      <c r="AG676" t="str">
        <f t="shared" si="45"/>
        <v>P (s,rød)</v>
      </c>
      <c r="AH676" t="s">
        <v>2420</v>
      </c>
      <c r="AI676" t="s">
        <v>2420</v>
      </c>
      <c r="AJ676" t="s">
        <v>2420</v>
      </c>
      <c r="AL676" t="s">
        <v>2419</v>
      </c>
      <c r="AS676" t="s">
        <v>2421</v>
      </c>
      <c r="AX676" s="6">
        <v>30.97</v>
      </c>
      <c r="AY676" s="6">
        <v>-17.559999999999999</v>
      </c>
      <c r="AZ676" s="6">
        <v>22.78</v>
      </c>
      <c r="BA676" s="6"/>
      <c r="BB676" s="6">
        <v>-12.12</v>
      </c>
      <c r="BC676" s="6"/>
    </row>
    <row r="677" spans="32:55">
      <c r="AF677">
        <f t="shared" si="44"/>
        <v>0</v>
      </c>
      <c r="AG677" t="str">
        <f t="shared" si="45"/>
        <v>P (s,sort)</v>
      </c>
      <c r="AH677" t="s">
        <v>2420</v>
      </c>
      <c r="AI677" t="s">
        <v>2420</v>
      </c>
      <c r="AJ677" t="s">
        <v>2420</v>
      </c>
      <c r="AL677" t="s">
        <v>2419</v>
      </c>
      <c r="AS677" t="s">
        <v>1668</v>
      </c>
      <c r="AX677" s="6">
        <v>30.97</v>
      </c>
      <c r="AY677" s="6">
        <v>-39.29</v>
      </c>
      <c r="AZ677" s="6" t="s">
        <v>168</v>
      </c>
      <c r="BA677" s="6"/>
      <c r="BB677" s="6" t="s">
        <v>168</v>
      </c>
      <c r="BC677" s="6"/>
    </row>
    <row r="678" spans="32:55">
      <c r="AF678">
        <f t="shared" si="44"/>
        <v>0</v>
      </c>
      <c r="AG678" t="str">
        <f t="shared" si="45"/>
        <v>P₄ (g)</v>
      </c>
      <c r="AH678" t="s">
        <v>2417</v>
      </c>
      <c r="AI678" t="s">
        <v>2418</v>
      </c>
      <c r="AJ678" t="s">
        <v>2418</v>
      </c>
      <c r="AL678" t="s">
        <v>2422</v>
      </c>
      <c r="AS678" t="s">
        <v>47</v>
      </c>
      <c r="AX678" s="6">
        <v>123.9</v>
      </c>
      <c r="AY678" s="6">
        <v>58.9</v>
      </c>
      <c r="AZ678" s="6">
        <v>280.01</v>
      </c>
      <c r="BA678" s="6"/>
      <c r="BB678" s="6">
        <v>24.32</v>
      </c>
      <c r="BC678" s="6"/>
    </row>
    <row r="679" spans="32:55">
      <c r="AF679">
        <f t="shared" si="44"/>
        <v>0</v>
      </c>
      <c r="AG679" t="str">
        <f t="shared" si="45"/>
        <v>PH₃ (g)</v>
      </c>
      <c r="AH679" t="s">
        <v>2423</v>
      </c>
      <c r="AI679" t="s">
        <v>2424</v>
      </c>
      <c r="AJ679" t="s">
        <v>2424</v>
      </c>
      <c r="AK679" t="s">
        <v>2425</v>
      </c>
      <c r="AL679" t="s">
        <v>2426</v>
      </c>
      <c r="AS679" t="s">
        <v>47</v>
      </c>
      <c r="AX679" s="6">
        <v>34</v>
      </c>
      <c r="AY679" s="6">
        <v>5.43</v>
      </c>
      <c r="AZ679" s="6">
        <v>210</v>
      </c>
      <c r="BA679" s="6"/>
      <c r="BB679" s="6">
        <v>13.5</v>
      </c>
      <c r="BC679" s="6"/>
    </row>
    <row r="680" spans="32:55">
      <c r="AF680">
        <f t="shared" si="44"/>
        <v>0</v>
      </c>
      <c r="AG680" t="str">
        <f t="shared" si="45"/>
        <v>P₄O₁₀ (s)</v>
      </c>
      <c r="AH680" t="s">
        <v>2427</v>
      </c>
      <c r="AI680" t="s">
        <v>2428</v>
      </c>
      <c r="AJ680" t="s">
        <v>2428</v>
      </c>
      <c r="AL680" t="s">
        <v>2429</v>
      </c>
      <c r="AS680" t="s">
        <v>160</v>
      </c>
      <c r="AX680" s="6">
        <v>283.89</v>
      </c>
      <c r="AY680" s="6">
        <v>-2984</v>
      </c>
      <c r="AZ680" s="6">
        <v>228.9</v>
      </c>
      <c r="BA680" s="6"/>
      <c r="BB680" s="6">
        <v>-2697.7</v>
      </c>
      <c r="BC680" s="6"/>
    </row>
    <row r="681" spans="32:55">
      <c r="AF681">
        <f t="shared" si="44"/>
        <v>0</v>
      </c>
      <c r="AG681" t="str">
        <f t="shared" si="45"/>
        <v>PCl₅ (g)</v>
      </c>
      <c r="AH681" t="s">
        <v>2430</v>
      </c>
      <c r="AI681" t="s">
        <v>2431</v>
      </c>
      <c r="AJ681" t="s">
        <v>2431</v>
      </c>
      <c r="AL681" t="s">
        <v>2432</v>
      </c>
      <c r="AS681" t="s">
        <v>47</v>
      </c>
      <c r="AX681" s="6">
        <v>208.24</v>
      </c>
      <c r="AY681" s="6">
        <v>-374.9</v>
      </c>
      <c r="AZ681" s="6">
        <v>364.6</v>
      </c>
      <c r="BA681" s="6"/>
      <c r="BB681" s="6">
        <v>-305</v>
      </c>
      <c r="BC681" s="6"/>
    </row>
    <row r="682" spans="32:55">
      <c r="AF682">
        <f t="shared" si="44"/>
        <v>0</v>
      </c>
      <c r="AG682" t="str">
        <f t="shared" si="45"/>
        <v>H₃PO₄ (s)</v>
      </c>
      <c r="AH682" t="s">
        <v>2433</v>
      </c>
      <c r="AI682" t="s">
        <v>2434</v>
      </c>
      <c r="AJ682" t="s">
        <v>2434</v>
      </c>
      <c r="AL682" t="s">
        <v>2435</v>
      </c>
      <c r="AS682" t="s">
        <v>160</v>
      </c>
      <c r="AX682" s="6">
        <v>98</v>
      </c>
      <c r="AY682" s="6">
        <v>-1284.4000000000001</v>
      </c>
      <c r="AZ682" s="6">
        <v>110.5</v>
      </c>
      <c r="BA682" s="6"/>
      <c r="BB682" s="6">
        <v>-1124.3</v>
      </c>
      <c r="BC682" s="6"/>
    </row>
    <row r="683" spans="32:55">
      <c r="AF683">
        <f t="shared" si="44"/>
        <v>0</v>
      </c>
      <c r="AG683" t="str">
        <f t="shared" si="45"/>
        <v>H₃PO₄ (aq)</v>
      </c>
      <c r="AH683" t="s">
        <v>2433</v>
      </c>
      <c r="AI683" t="s">
        <v>2434</v>
      </c>
      <c r="AJ683" t="s">
        <v>2434</v>
      </c>
      <c r="AL683" t="s">
        <v>2435</v>
      </c>
      <c r="AS683" t="s">
        <v>48</v>
      </c>
      <c r="AX683" s="6">
        <v>98</v>
      </c>
      <c r="AY683" s="6">
        <v>-1276.0999999999999</v>
      </c>
      <c r="AZ683" s="6">
        <v>-221.5</v>
      </c>
      <c r="BA683" s="6"/>
      <c r="BB683" s="6">
        <v>-1017.8</v>
      </c>
      <c r="BC683" s="6"/>
    </row>
    <row r="684" spans="32:55">
      <c r="AF684">
        <f t="shared" si="44"/>
        <v>0</v>
      </c>
      <c r="AG684" t="str">
        <f t="shared" si="45"/>
        <v>H₂PO₄⁻ (aq)</v>
      </c>
      <c r="AH684" t="s">
        <v>2436</v>
      </c>
      <c r="AI684" t="s">
        <v>2437</v>
      </c>
      <c r="AJ684" t="s">
        <v>2437</v>
      </c>
      <c r="AL684" t="s">
        <v>2438</v>
      </c>
      <c r="AS684" t="s">
        <v>48</v>
      </c>
      <c r="AX684" s="6">
        <v>96.99</v>
      </c>
      <c r="AY684" s="6">
        <v>-1294.9000000000001</v>
      </c>
      <c r="AZ684" s="6">
        <v>90.2</v>
      </c>
      <c r="BA684" s="6"/>
      <c r="BB684" s="6">
        <v>-1087.5</v>
      </c>
      <c r="BC684" s="6"/>
    </row>
    <row r="685" spans="32:55">
      <c r="AF685">
        <f t="shared" si="44"/>
        <v>0</v>
      </c>
      <c r="AG685" t="str">
        <f t="shared" si="45"/>
        <v>HPO₄²⁻ (aq)</v>
      </c>
      <c r="AH685" t="s">
        <v>2439</v>
      </c>
      <c r="AI685" t="s">
        <v>2440</v>
      </c>
      <c r="AJ685" t="s">
        <v>2440</v>
      </c>
      <c r="AL685" t="s">
        <v>2441</v>
      </c>
      <c r="AS685" t="s">
        <v>48</v>
      </c>
      <c r="AX685" s="6">
        <v>95.98</v>
      </c>
      <c r="AY685" s="6">
        <v>-1290.9000000000001</v>
      </c>
      <c r="AZ685" s="6">
        <v>-33.5</v>
      </c>
      <c r="BA685" s="6"/>
      <c r="BB685" s="6">
        <v>-1088.2</v>
      </c>
      <c r="BC685" s="6"/>
    </row>
    <row r="686" spans="32:55">
      <c r="AF686">
        <f t="shared" si="44"/>
        <v>0</v>
      </c>
      <c r="AG686" t="str">
        <f t="shared" si="45"/>
        <v>PO₄³⁻ (aq)</v>
      </c>
      <c r="AH686" t="s">
        <v>2442</v>
      </c>
      <c r="AI686" t="s">
        <v>2443</v>
      </c>
      <c r="AJ686" t="s">
        <v>2443</v>
      </c>
      <c r="AL686" t="s">
        <v>2444</v>
      </c>
      <c r="AS686" t="s">
        <v>48</v>
      </c>
      <c r="AX686" s="6">
        <v>94.97</v>
      </c>
      <c r="AY686" s="6">
        <v>-1277.4000000000001</v>
      </c>
      <c r="AZ686" s="6">
        <v>-220.5</v>
      </c>
      <c r="BA686" s="6"/>
      <c r="BB686" s="6">
        <v>-1018.7</v>
      </c>
      <c r="BC686" s="6"/>
    </row>
    <row r="687" spans="32:55">
      <c r="AF687">
        <f t="shared" si="44"/>
        <v>0</v>
      </c>
      <c r="AG687" t="str">
        <f t="shared" si="45"/>
        <v>H₃PO₃ (s)</v>
      </c>
      <c r="AH687" t="s">
        <v>2445</v>
      </c>
      <c r="AI687" t="s">
        <v>2446</v>
      </c>
      <c r="AJ687" t="s">
        <v>2446</v>
      </c>
      <c r="AL687" t="s">
        <v>2447</v>
      </c>
      <c r="AS687" t="s">
        <v>160</v>
      </c>
      <c r="AX687" s="6">
        <v>82</v>
      </c>
      <c r="AY687" s="6">
        <v>-964.4</v>
      </c>
      <c r="AZ687" s="6" t="s">
        <v>168</v>
      </c>
      <c r="BA687" s="6"/>
      <c r="BB687" s="6" t="s">
        <v>168</v>
      </c>
      <c r="BC687" s="6"/>
    </row>
    <row r="688" spans="32:55">
      <c r="AF688">
        <f t="shared" si="44"/>
        <v>0</v>
      </c>
      <c r="AG688" t="str">
        <f t="shared" si="45"/>
        <v/>
      </c>
      <c r="AH688" t="s">
        <v>2448</v>
      </c>
      <c r="AI688" t="s">
        <v>2449</v>
      </c>
      <c r="AJ688" t="s">
        <v>2450</v>
      </c>
      <c r="AL688" t="s">
        <v>2451</v>
      </c>
      <c r="AS688" t="s">
        <v>220</v>
      </c>
      <c r="AX688" s="6">
        <v>79.98</v>
      </c>
      <c r="AY688" s="6" t="s">
        <v>168</v>
      </c>
      <c r="AZ688" s="6" t="s">
        <v>168</v>
      </c>
      <c r="BA688" s="6"/>
      <c r="BB688" s="6" t="s">
        <v>168</v>
      </c>
      <c r="BC688" s="6"/>
    </row>
    <row r="689" spans="32:55">
      <c r="AF689">
        <f t="shared" si="44"/>
        <v>0</v>
      </c>
      <c r="AG689" t="str">
        <f t="shared" si="45"/>
        <v/>
      </c>
      <c r="AH689" t="s">
        <v>2452</v>
      </c>
      <c r="AI689" t="s">
        <v>2453</v>
      </c>
      <c r="AJ689" t="s">
        <v>2454</v>
      </c>
      <c r="AL689" t="s">
        <v>2455</v>
      </c>
      <c r="AX689" s="6" t="s">
        <v>168</v>
      </c>
      <c r="AY689" s="6" t="s">
        <v>168</v>
      </c>
      <c r="AZ689" s="6" t="s">
        <v>168</v>
      </c>
      <c r="BA689" s="6"/>
      <c r="BB689" s="6" t="s">
        <v>168</v>
      </c>
      <c r="BC689" s="6"/>
    </row>
    <row r="690" spans="32:55">
      <c r="AF690">
        <f t="shared" si="44"/>
        <v>0</v>
      </c>
      <c r="AG690" t="str">
        <f t="shared" si="45"/>
        <v>P₂O₇⁴⁻ (aq)</v>
      </c>
      <c r="AH690" t="s">
        <v>2456</v>
      </c>
      <c r="AI690" t="s">
        <v>2457</v>
      </c>
      <c r="AJ690" t="s">
        <v>2457</v>
      </c>
      <c r="AL690" t="s">
        <v>2458</v>
      </c>
      <c r="AS690" t="s">
        <v>48</v>
      </c>
      <c r="AX690" s="6">
        <v>173.94</v>
      </c>
      <c r="AY690" s="6">
        <v>-2271.1</v>
      </c>
      <c r="AZ690" s="6">
        <v>-117</v>
      </c>
      <c r="BA690" s="6"/>
      <c r="BB690" s="6">
        <v>-1919</v>
      </c>
      <c r="BC690" s="6"/>
    </row>
    <row r="691" spans="32:55">
      <c r="AF691">
        <f t="shared" si="44"/>
        <v>0</v>
      </c>
      <c r="AG691" t="str">
        <f t="shared" si="45"/>
        <v>PBr₃ (l)</v>
      </c>
      <c r="AH691" t="s">
        <v>2459</v>
      </c>
      <c r="AI691" t="s">
        <v>2460</v>
      </c>
      <c r="AJ691" t="s">
        <v>2460</v>
      </c>
      <c r="AL691" t="s">
        <v>2461</v>
      </c>
      <c r="AS691" t="s">
        <v>239</v>
      </c>
      <c r="AX691" s="6">
        <v>270.69</v>
      </c>
      <c r="AY691" s="6">
        <v>-184.5</v>
      </c>
      <c r="AZ691" s="6">
        <v>240.2</v>
      </c>
      <c r="BA691" s="6"/>
      <c r="BB691" s="6">
        <v>-175.7</v>
      </c>
      <c r="BC691" s="6"/>
    </row>
    <row r="692" spans="32:55">
      <c r="AF692">
        <f t="shared" si="44"/>
        <v>0</v>
      </c>
      <c r="AG692" t="str">
        <f t="shared" si="45"/>
        <v>PCl₃ (l)</v>
      </c>
      <c r="AH692" t="s">
        <v>2462</v>
      </c>
      <c r="AI692" t="s">
        <v>2463</v>
      </c>
      <c r="AJ692" t="s">
        <v>2463</v>
      </c>
      <c r="AL692" t="s">
        <v>2464</v>
      </c>
      <c r="AS692" t="s">
        <v>239</v>
      </c>
      <c r="AX692" s="6">
        <v>137.33000000000001</v>
      </c>
      <c r="AY692" s="6">
        <v>-319.3</v>
      </c>
      <c r="AZ692" s="6">
        <v>217.1</v>
      </c>
      <c r="BA692" s="6"/>
      <c r="BB692" s="6">
        <v>-272.3</v>
      </c>
      <c r="BC692" s="6"/>
    </row>
    <row r="693" spans="32:55">
      <c r="AF693">
        <f t="shared" si="44"/>
        <v>0</v>
      </c>
      <c r="AG693" t="str">
        <f t="shared" si="45"/>
        <v>PCl₃ (g)</v>
      </c>
      <c r="AH693" t="s">
        <v>2462</v>
      </c>
      <c r="AI693" t="s">
        <v>2463</v>
      </c>
      <c r="AJ693" t="s">
        <v>2463</v>
      </c>
      <c r="AL693" t="s">
        <v>2464</v>
      </c>
      <c r="AS693" t="s">
        <v>47</v>
      </c>
      <c r="AX693" s="6">
        <v>137.33000000000001</v>
      </c>
      <c r="AY693" s="6">
        <v>-287</v>
      </c>
      <c r="AZ693" s="6">
        <v>311.8</v>
      </c>
      <c r="BA693" s="6"/>
      <c r="BB693" s="6">
        <v>-267.8</v>
      </c>
      <c r="BC693" s="6"/>
    </row>
    <row r="694" spans="32:55">
      <c r="AF694">
        <f t="shared" si="44"/>
        <v>0</v>
      </c>
      <c r="AG694" t="str">
        <f t="shared" si="45"/>
        <v>Pt (s)</v>
      </c>
      <c r="AH694" t="s">
        <v>2465</v>
      </c>
      <c r="AI694" t="s">
        <v>2465</v>
      </c>
      <c r="AJ694" t="s">
        <v>2465</v>
      </c>
      <c r="AL694" t="s">
        <v>2466</v>
      </c>
      <c r="AS694" t="s">
        <v>160</v>
      </c>
      <c r="AX694" s="6">
        <v>195.08</v>
      </c>
      <c r="AY694" s="6">
        <v>0</v>
      </c>
      <c r="AZ694" s="6">
        <v>41.63</v>
      </c>
      <c r="BA694" s="6"/>
      <c r="BB694" s="6">
        <v>0</v>
      </c>
      <c r="BC694" s="6"/>
    </row>
    <row r="695" spans="32:55">
      <c r="AF695">
        <f t="shared" si="44"/>
        <v>0</v>
      </c>
      <c r="AG695" t="str">
        <f t="shared" si="45"/>
        <v>Pt₂²⁺ (aq)</v>
      </c>
      <c r="AH695" t="s">
        <v>2467</v>
      </c>
      <c r="AI695" t="s">
        <v>2468</v>
      </c>
      <c r="AJ695" t="s">
        <v>2468</v>
      </c>
      <c r="AL695" t="s">
        <v>2469</v>
      </c>
      <c r="AS695" t="s">
        <v>48</v>
      </c>
      <c r="AX695" s="6">
        <v>195.08</v>
      </c>
      <c r="AY695" s="6" t="s">
        <v>168</v>
      </c>
      <c r="AZ695" s="6" t="s">
        <v>168</v>
      </c>
      <c r="BA695" s="6"/>
      <c r="BB695" s="6">
        <v>254.8</v>
      </c>
      <c r="BC695" s="6"/>
    </row>
    <row r="696" spans="32:55">
      <c r="AF696">
        <f t="shared" si="44"/>
        <v>0</v>
      </c>
      <c r="AG696" t="str">
        <f t="shared" si="45"/>
        <v>PtCl₂ (s)</v>
      </c>
      <c r="AH696" t="s">
        <v>2470</v>
      </c>
      <c r="AI696" t="s">
        <v>2471</v>
      </c>
      <c r="AJ696" t="s">
        <v>2471</v>
      </c>
      <c r="AL696" t="s">
        <v>2472</v>
      </c>
      <c r="AS696" t="s">
        <v>160</v>
      </c>
      <c r="AX696" s="6">
        <v>265.98</v>
      </c>
      <c r="AY696" s="6">
        <v>-123.4</v>
      </c>
      <c r="AZ696" s="6" t="s">
        <v>168</v>
      </c>
      <c r="BA696" s="6"/>
      <c r="BB696" s="6" t="s">
        <v>168</v>
      </c>
      <c r="BC696" s="6"/>
    </row>
    <row r="697" spans="32:55">
      <c r="AF697">
        <f t="shared" si="44"/>
        <v>0</v>
      </c>
      <c r="AG697" t="str">
        <f t="shared" si="45"/>
        <v>PtCl₆²⁻ (aq)</v>
      </c>
      <c r="AH697" t="s">
        <v>2473</v>
      </c>
      <c r="AI697" t="s">
        <v>2474</v>
      </c>
      <c r="AJ697" t="s">
        <v>2474</v>
      </c>
      <c r="AL697" t="s">
        <v>2475</v>
      </c>
      <c r="AS697" t="s">
        <v>48</v>
      </c>
      <c r="AX697" s="6">
        <v>407.8</v>
      </c>
      <c r="AY697" s="6">
        <v>-668.2</v>
      </c>
      <c r="AZ697" s="6">
        <v>219.7</v>
      </c>
      <c r="BA697" s="6"/>
      <c r="BB697" s="6">
        <v>-482.7</v>
      </c>
      <c r="BC697" s="6"/>
    </row>
    <row r="698" spans="32:55">
      <c r="AF698">
        <f t="shared" si="44"/>
        <v>0</v>
      </c>
      <c r="AG698" t="str">
        <f t="shared" si="45"/>
        <v>Rb (s)</v>
      </c>
      <c r="AH698" t="s">
        <v>2476</v>
      </c>
      <c r="AI698" t="s">
        <v>2476</v>
      </c>
      <c r="AJ698" t="s">
        <v>2476</v>
      </c>
      <c r="AL698" t="s">
        <v>2477</v>
      </c>
      <c r="AS698" t="s">
        <v>160</v>
      </c>
      <c r="AX698" s="6">
        <v>85.47</v>
      </c>
      <c r="AY698" s="6">
        <v>0</v>
      </c>
      <c r="AZ698" s="6">
        <v>76.78</v>
      </c>
      <c r="BA698" s="6"/>
      <c r="BB698" s="6">
        <v>0</v>
      </c>
      <c r="BC698" s="6"/>
    </row>
    <row r="699" spans="32:55">
      <c r="AF699">
        <f t="shared" si="44"/>
        <v>0</v>
      </c>
      <c r="AG699" t="str">
        <f t="shared" si="45"/>
        <v>Rb⁺ (aq)</v>
      </c>
      <c r="AH699" t="s">
        <v>2478</v>
      </c>
      <c r="AI699" t="s">
        <v>2479</v>
      </c>
      <c r="AJ699" t="s">
        <v>2479</v>
      </c>
      <c r="AL699" t="s">
        <v>2480</v>
      </c>
      <c r="AS699" t="s">
        <v>48</v>
      </c>
      <c r="AX699" s="6">
        <v>85.47</v>
      </c>
      <c r="AY699" s="6">
        <v>-251.12</v>
      </c>
      <c r="AZ699" s="6">
        <v>121.75</v>
      </c>
      <c r="BA699" s="6"/>
      <c r="BB699" s="6">
        <v>-282.2</v>
      </c>
      <c r="BC699" s="6"/>
    </row>
    <row r="700" spans="32:55">
      <c r="AF700">
        <f t="shared" si="44"/>
        <v>0</v>
      </c>
      <c r="AG700" t="str">
        <f t="shared" si="45"/>
        <v>RbCl (s)</v>
      </c>
      <c r="AH700" t="s">
        <v>2481</v>
      </c>
      <c r="AI700" t="s">
        <v>2481</v>
      </c>
      <c r="AJ700" t="s">
        <v>2481</v>
      </c>
      <c r="AL700" t="s">
        <v>2482</v>
      </c>
      <c r="AS700" t="s">
        <v>160</v>
      </c>
      <c r="AX700" s="6">
        <v>120.92</v>
      </c>
      <c r="AY700" s="6">
        <v>-435.4</v>
      </c>
      <c r="AZ700" s="6">
        <v>95.9</v>
      </c>
      <c r="BA700" s="6"/>
      <c r="BB700" s="6">
        <v>-407.8</v>
      </c>
      <c r="BC700" s="6"/>
    </row>
    <row r="701" spans="32:55">
      <c r="AF701">
        <f t="shared" si="44"/>
        <v>0</v>
      </c>
      <c r="AG701" t="str">
        <f t="shared" si="45"/>
        <v>Se (s)</v>
      </c>
      <c r="AH701" t="s">
        <v>2483</v>
      </c>
      <c r="AI701" t="s">
        <v>2483</v>
      </c>
      <c r="AJ701" t="s">
        <v>2483</v>
      </c>
      <c r="AL701" t="s">
        <v>2484</v>
      </c>
      <c r="AS701" t="s">
        <v>160</v>
      </c>
      <c r="AX701" s="6">
        <v>78.959999999999994</v>
      </c>
      <c r="AY701" s="6">
        <v>0</v>
      </c>
      <c r="AZ701" s="6">
        <v>42.42</v>
      </c>
      <c r="BA701" s="6"/>
      <c r="BB701" s="6">
        <v>0</v>
      </c>
      <c r="BC701" s="6"/>
    </row>
    <row r="702" spans="32:55">
      <c r="AF702">
        <f t="shared" si="44"/>
        <v>0</v>
      </c>
      <c r="AG702" t="str">
        <f t="shared" si="45"/>
        <v>H₂Se (g)</v>
      </c>
      <c r="AH702" t="s">
        <v>2485</v>
      </c>
      <c r="AI702" t="s">
        <v>2486</v>
      </c>
      <c r="AJ702" t="s">
        <v>2486</v>
      </c>
      <c r="AL702" t="s">
        <v>2487</v>
      </c>
      <c r="AS702" t="s">
        <v>47</v>
      </c>
      <c r="AX702" s="6">
        <v>80.98</v>
      </c>
      <c r="AY702" s="6">
        <v>29.7</v>
      </c>
      <c r="AZ702" s="6">
        <v>218.9</v>
      </c>
      <c r="BA702" s="6"/>
      <c r="BB702" s="6">
        <v>15.9</v>
      </c>
      <c r="BC702" s="6"/>
    </row>
    <row r="703" spans="32:55">
      <c r="AF703">
        <f t="shared" si="44"/>
        <v>0</v>
      </c>
      <c r="AG703" t="str">
        <f t="shared" si="45"/>
        <v>SeO₂ (s)</v>
      </c>
      <c r="AH703" t="s">
        <v>2488</v>
      </c>
      <c r="AI703" t="s">
        <v>2489</v>
      </c>
      <c r="AJ703" t="s">
        <v>2489</v>
      </c>
      <c r="AL703" t="s">
        <v>2490</v>
      </c>
      <c r="AS703" t="s">
        <v>160</v>
      </c>
      <c r="AX703" s="6">
        <v>110.96</v>
      </c>
      <c r="AY703" s="6">
        <v>-225.35</v>
      </c>
      <c r="AZ703" s="6" t="s">
        <v>168</v>
      </c>
      <c r="BA703" s="6"/>
      <c r="BB703" s="6">
        <v>-173.6</v>
      </c>
      <c r="BC703" s="6"/>
    </row>
    <row r="704" spans="32:55">
      <c r="AF704">
        <f t="shared" si="44"/>
        <v>0</v>
      </c>
      <c r="AG704" t="str">
        <f t="shared" si="45"/>
        <v>H₂SeO₄ (s)</v>
      </c>
      <c r="AH704" t="s">
        <v>2491</v>
      </c>
      <c r="AI704" t="s">
        <v>2492</v>
      </c>
      <c r="AJ704" t="s">
        <v>2492</v>
      </c>
      <c r="AL704" t="s">
        <v>2493</v>
      </c>
      <c r="AS704" t="s">
        <v>160</v>
      </c>
      <c r="AX704" s="6">
        <v>144.97</v>
      </c>
      <c r="AY704" s="6">
        <v>-530.1</v>
      </c>
      <c r="AZ704" s="6" t="s">
        <v>168</v>
      </c>
      <c r="BA704" s="6"/>
      <c r="BB704" s="6" t="s">
        <v>168</v>
      </c>
      <c r="BC704" s="6"/>
    </row>
    <row r="705" spans="32:55">
      <c r="AF705">
        <f t="shared" si="44"/>
        <v>0</v>
      </c>
      <c r="AG705" t="str">
        <f t="shared" si="45"/>
        <v>Si (s)</v>
      </c>
      <c r="AH705" t="s">
        <v>2494</v>
      </c>
      <c r="AI705" t="s">
        <v>2494</v>
      </c>
      <c r="AJ705" t="s">
        <v>2494</v>
      </c>
      <c r="AL705" t="s">
        <v>2495</v>
      </c>
      <c r="AS705" t="s">
        <v>160</v>
      </c>
      <c r="AX705" s="6">
        <v>28.09</v>
      </c>
      <c r="AY705" s="6">
        <v>0</v>
      </c>
      <c r="AZ705" s="6">
        <v>18.809999999999999</v>
      </c>
      <c r="BA705" s="6"/>
      <c r="BB705" s="6">
        <v>0</v>
      </c>
      <c r="BC705" s="6"/>
    </row>
    <row r="706" spans="32:55">
      <c r="AF706">
        <f t="shared" si="44"/>
        <v>0</v>
      </c>
      <c r="AG706" t="str">
        <f t="shared" si="45"/>
        <v>SiC (s)</v>
      </c>
      <c r="AH706" t="s">
        <v>2496</v>
      </c>
      <c r="AI706" t="s">
        <v>2496</v>
      </c>
      <c r="AJ706" t="s">
        <v>2496</v>
      </c>
      <c r="AL706" t="s">
        <v>2497</v>
      </c>
      <c r="AS706" t="s">
        <v>160</v>
      </c>
      <c r="AX706" s="6">
        <v>40.1</v>
      </c>
      <c r="AY706" s="6">
        <v>-73.2</v>
      </c>
      <c r="AZ706" s="6">
        <v>16.600000000000001</v>
      </c>
      <c r="BA706" s="6"/>
      <c r="BB706" s="6">
        <v>-78.2</v>
      </c>
      <c r="BC706" s="6"/>
    </row>
    <row r="707" spans="32:55">
      <c r="AF707">
        <f t="shared" ref="AF707:AF770" si="46">IF(OR(AG707="",COUNTIF(AG:AG, AG707) = 1),0, "1")</f>
        <v>0</v>
      </c>
      <c r="AG707" t="str">
        <f t="shared" ref="AG707:AG770" si="47">IF(AS707 &lt;&gt; "",AH707&amp;" ("&amp;AS707 &amp;")","")</f>
        <v>SiO₂ (s)</v>
      </c>
      <c r="AH707" t="s">
        <v>2498</v>
      </c>
      <c r="AI707" t="s">
        <v>2499</v>
      </c>
      <c r="AJ707" t="s">
        <v>2499</v>
      </c>
      <c r="AK707" t="s">
        <v>2500</v>
      </c>
      <c r="AL707" t="s">
        <v>2501</v>
      </c>
      <c r="AS707" t="s">
        <v>160</v>
      </c>
      <c r="AX707" s="6">
        <v>60.09</v>
      </c>
      <c r="AY707" s="6">
        <v>-910.7</v>
      </c>
      <c r="AZ707" s="6">
        <v>41.46</v>
      </c>
      <c r="BA707" s="6"/>
      <c r="BB707" s="6">
        <v>-825.1</v>
      </c>
      <c r="BC707" s="6"/>
    </row>
    <row r="708" spans="32:55">
      <c r="AF708">
        <f t="shared" si="46"/>
        <v>0</v>
      </c>
      <c r="AG708" t="str">
        <f t="shared" si="47"/>
        <v>SiH₄ (g)</v>
      </c>
      <c r="AH708" t="s">
        <v>2502</v>
      </c>
      <c r="AI708" t="s">
        <v>2503</v>
      </c>
      <c r="AJ708" t="s">
        <v>2503</v>
      </c>
      <c r="AK708" t="s">
        <v>2504</v>
      </c>
      <c r="AL708" t="s">
        <v>2505</v>
      </c>
      <c r="AS708" t="s">
        <v>47</v>
      </c>
      <c r="AX708" s="6">
        <v>32.119999999999997</v>
      </c>
      <c r="AY708" s="6">
        <v>34.299999999999997</v>
      </c>
      <c r="AZ708" s="6">
        <v>204.6</v>
      </c>
      <c r="BA708" s="6"/>
      <c r="BB708" s="6">
        <v>56.9</v>
      </c>
      <c r="BC708" s="6"/>
    </row>
    <row r="709" spans="32:55">
      <c r="AF709">
        <f t="shared" si="46"/>
        <v>0</v>
      </c>
      <c r="AG709" t="str">
        <f t="shared" si="47"/>
        <v>SiCl₄ (l)</v>
      </c>
      <c r="AH709" t="s">
        <v>2506</v>
      </c>
      <c r="AI709" t="s">
        <v>2507</v>
      </c>
      <c r="AJ709" t="s">
        <v>2507</v>
      </c>
      <c r="AL709" t="s">
        <v>2508</v>
      </c>
      <c r="AS709" t="s">
        <v>239</v>
      </c>
      <c r="AX709" s="6">
        <v>169.9</v>
      </c>
      <c r="AY709" s="6">
        <v>-687</v>
      </c>
      <c r="AZ709" s="6">
        <v>239.7</v>
      </c>
      <c r="BA709" s="6"/>
      <c r="BB709" s="6">
        <v>-619.79999999999995</v>
      </c>
      <c r="BC709" s="6"/>
    </row>
    <row r="710" spans="32:55">
      <c r="AF710">
        <f t="shared" si="46"/>
        <v>0</v>
      </c>
      <c r="AG710" t="str">
        <f t="shared" si="47"/>
        <v>SiF₄ (g)</v>
      </c>
      <c r="AH710" t="s">
        <v>2509</v>
      </c>
      <c r="AI710" t="s">
        <v>2510</v>
      </c>
      <c r="AJ710" t="s">
        <v>2510</v>
      </c>
      <c r="AL710" t="s">
        <v>2511</v>
      </c>
      <c r="AS710" t="s">
        <v>47</v>
      </c>
      <c r="AX710" s="6">
        <v>104.08</v>
      </c>
      <c r="AY710" s="6">
        <v>-1614</v>
      </c>
      <c r="AZ710" s="6">
        <v>282.76</v>
      </c>
      <c r="BA710" s="6"/>
      <c r="BB710" s="6">
        <v>-1572.8</v>
      </c>
      <c r="BC710" s="6"/>
    </row>
    <row r="711" spans="32:55">
      <c r="AF711">
        <f t="shared" si="46"/>
        <v>0</v>
      </c>
      <c r="AG711" t="str">
        <f t="shared" si="47"/>
        <v>Sr (s)</v>
      </c>
      <c r="AH711" t="s">
        <v>56</v>
      </c>
      <c r="AI711" t="s">
        <v>56</v>
      </c>
      <c r="AJ711" t="s">
        <v>56</v>
      </c>
      <c r="AL711" t="s">
        <v>2512</v>
      </c>
      <c r="AS711" t="s">
        <v>160</v>
      </c>
      <c r="AX711" s="6">
        <v>87.62</v>
      </c>
      <c r="AY711" s="6">
        <v>0</v>
      </c>
      <c r="AZ711" s="6">
        <v>55</v>
      </c>
      <c r="BA711" s="6"/>
      <c r="BB711" s="6">
        <v>0</v>
      </c>
      <c r="BC711" s="6"/>
    </row>
    <row r="712" spans="32:55">
      <c r="AF712">
        <f t="shared" si="46"/>
        <v>0</v>
      </c>
      <c r="AG712" t="str">
        <f t="shared" si="47"/>
        <v>Sr²⁺ (aq)</v>
      </c>
      <c r="AH712" t="s">
        <v>2513</v>
      </c>
      <c r="AI712" t="s">
        <v>2514</v>
      </c>
      <c r="AJ712" t="s">
        <v>2514</v>
      </c>
      <c r="AL712" t="s">
        <v>2515</v>
      </c>
      <c r="AS712" t="s">
        <v>48</v>
      </c>
      <c r="AX712" s="6">
        <v>87.62</v>
      </c>
      <c r="AY712" s="6">
        <v>-545.79999999999995</v>
      </c>
      <c r="AZ712" s="6">
        <v>-32.6</v>
      </c>
      <c r="BA712" s="6"/>
      <c r="BB712" s="6">
        <v>-559.5</v>
      </c>
      <c r="BC712" s="6"/>
    </row>
    <row r="713" spans="32:55">
      <c r="AF713">
        <f t="shared" si="46"/>
        <v>0</v>
      </c>
      <c r="AG713" t="str">
        <f t="shared" si="47"/>
        <v>SrCO₃ (s)</v>
      </c>
      <c r="AH713" t="s">
        <v>2516</v>
      </c>
      <c r="AI713" t="s">
        <v>2517</v>
      </c>
      <c r="AJ713" t="s">
        <v>2517</v>
      </c>
      <c r="AL713" t="s">
        <v>2518</v>
      </c>
      <c r="AS713" t="s">
        <v>160</v>
      </c>
      <c r="AX713" s="6">
        <v>147.63</v>
      </c>
      <c r="AY713" s="6">
        <v>-1220.0999999999999</v>
      </c>
      <c r="AZ713" s="6">
        <v>97.1</v>
      </c>
      <c r="BA713" s="6"/>
      <c r="BB713" s="6">
        <v>-1140.0999999999999</v>
      </c>
      <c r="BC713" s="6"/>
    </row>
    <row r="714" spans="32:55">
      <c r="AF714">
        <f t="shared" si="46"/>
        <v>0</v>
      </c>
      <c r="AG714" t="str">
        <f t="shared" si="47"/>
        <v>SrCl₂ (s)</v>
      </c>
      <c r="AH714" t="s">
        <v>2519</v>
      </c>
      <c r="AI714" t="s">
        <v>2520</v>
      </c>
      <c r="AJ714" t="s">
        <v>2520</v>
      </c>
      <c r="AL714" t="s">
        <v>2521</v>
      </c>
      <c r="AS714" t="s">
        <v>160</v>
      </c>
      <c r="AX714" s="6">
        <v>158.53</v>
      </c>
      <c r="AY714" s="6">
        <v>-828.8</v>
      </c>
      <c r="AZ714" s="6">
        <v>114.85</v>
      </c>
      <c r="BA714" s="6"/>
      <c r="BB714" s="6">
        <v>-781.1</v>
      </c>
      <c r="BC714" s="6"/>
    </row>
    <row r="715" spans="32:55">
      <c r="AF715">
        <f t="shared" si="46"/>
        <v>0</v>
      </c>
      <c r="AG715" t="str">
        <f t="shared" si="47"/>
        <v>SrCl₂∙2H₂O (s)</v>
      </c>
      <c r="AH715" t="s">
        <v>2522</v>
      </c>
      <c r="AI715" t="s">
        <v>2523</v>
      </c>
      <c r="AJ715" t="s">
        <v>2524</v>
      </c>
      <c r="AL715" t="s">
        <v>2525</v>
      </c>
      <c r="AS715" t="s">
        <v>160</v>
      </c>
      <c r="AX715" s="6">
        <v>194.56</v>
      </c>
      <c r="AY715" s="6">
        <v>-1438</v>
      </c>
      <c r="AZ715" s="6">
        <v>218</v>
      </c>
      <c r="BA715" s="6"/>
      <c r="BB715" s="6">
        <v>-1281.9000000000001</v>
      </c>
      <c r="BC715" s="6"/>
    </row>
    <row r="716" spans="32:55">
      <c r="AF716">
        <f t="shared" si="46"/>
        <v>0</v>
      </c>
      <c r="AG716" t="str">
        <f t="shared" si="47"/>
        <v>SrCrO₄ (s)</v>
      </c>
      <c r="AH716" t="s">
        <v>2526</v>
      </c>
      <c r="AI716" t="s">
        <v>2527</v>
      </c>
      <c r="AJ716" t="s">
        <v>2527</v>
      </c>
      <c r="AL716" t="s">
        <v>2528</v>
      </c>
      <c r="AS716" t="s">
        <v>160</v>
      </c>
      <c r="AX716" s="6">
        <v>203.61</v>
      </c>
      <c r="AY716" s="6" t="s">
        <v>168</v>
      </c>
      <c r="AZ716" s="6" t="s">
        <v>168</v>
      </c>
      <c r="BA716" s="6"/>
      <c r="BB716" s="6" t="s">
        <v>168</v>
      </c>
      <c r="BC716" s="6"/>
    </row>
    <row r="717" spans="32:55">
      <c r="AF717">
        <f t="shared" si="46"/>
        <v>0</v>
      </c>
      <c r="AG717" t="str">
        <f t="shared" si="47"/>
        <v>Sr(OH)₂ (s)</v>
      </c>
      <c r="AH717" t="s">
        <v>2529</v>
      </c>
      <c r="AI717" t="s">
        <v>2530</v>
      </c>
      <c r="AJ717" t="s">
        <v>2531</v>
      </c>
      <c r="AL717" t="s">
        <v>2532</v>
      </c>
      <c r="AS717" t="s">
        <v>160</v>
      </c>
      <c r="AX717" s="6">
        <v>121.64</v>
      </c>
      <c r="AY717" s="6">
        <v>-959</v>
      </c>
      <c r="AZ717" s="6">
        <v>88</v>
      </c>
      <c r="BA717" s="6"/>
      <c r="BB717" s="6">
        <v>-869.4</v>
      </c>
      <c r="BC717" s="6"/>
    </row>
    <row r="718" spans="32:55">
      <c r="AF718">
        <f t="shared" si="46"/>
        <v>0</v>
      </c>
      <c r="AG718" t="str">
        <f t="shared" si="47"/>
        <v>Sr(OH)₂∙8H₂O (s)</v>
      </c>
      <c r="AH718" t="s">
        <v>2533</v>
      </c>
      <c r="AI718" t="s">
        <v>2534</v>
      </c>
      <c r="AJ718" t="s">
        <v>2535</v>
      </c>
      <c r="AL718" t="s">
        <v>2536</v>
      </c>
      <c r="AS718" t="s">
        <v>160</v>
      </c>
      <c r="AX718" s="6">
        <v>265.76</v>
      </c>
      <c r="AY718" s="6">
        <v>-3352.2</v>
      </c>
      <c r="AZ718" s="6" t="s">
        <v>168</v>
      </c>
      <c r="BA718" s="6"/>
      <c r="BB718" s="6" t="s">
        <v>168</v>
      </c>
      <c r="BC718" s="6"/>
    </row>
    <row r="719" spans="32:55">
      <c r="AF719">
        <f t="shared" si="46"/>
        <v>0</v>
      </c>
      <c r="AG719" t="str">
        <f t="shared" si="47"/>
        <v>Sr(NO₃)₂ (s)</v>
      </c>
      <c r="AH719" t="s">
        <v>2537</v>
      </c>
      <c r="AI719" t="s">
        <v>2538</v>
      </c>
      <c r="AJ719" t="s">
        <v>2539</v>
      </c>
      <c r="AL719" t="s">
        <v>2540</v>
      </c>
      <c r="AS719" t="s">
        <v>160</v>
      </c>
      <c r="AX719" s="6">
        <v>211.63</v>
      </c>
      <c r="AY719" s="6">
        <v>-978.2</v>
      </c>
      <c r="AZ719" s="6">
        <v>194.56</v>
      </c>
      <c r="BA719" s="6"/>
      <c r="BB719" s="6">
        <v>-780.02</v>
      </c>
      <c r="BC719" s="6"/>
    </row>
    <row r="720" spans="32:55">
      <c r="AF720">
        <f t="shared" si="46"/>
        <v>0</v>
      </c>
      <c r="AG720" t="str">
        <f t="shared" si="47"/>
        <v>Sr(NO₃)₂∙4H₂O (s)</v>
      </c>
      <c r="AH720" t="s">
        <v>2541</v>
      </c>
      <c r="AI720" t="s">
        <v>2542</v>
      </c>
      <c r="AJ720" t="s">
        <v>2543</v>
      </c>
      <c r="AL720" t="s">
        <v>2544</v>
      </c>
      <c r="AS720" t="s">
        <v>160</v>
      </c>
      <c r="AX720" s="6">
        <v>283.69</v>
      </c>
      <c r="AY720" s="6">
        <v>-2154.8000000000002</v>
      </c>
      <c r="AZ720" s="6">
        <v>369</v>
      </c>
      <c r="BA720" s="6"/>
      <c r="BB720" s="6">
        <v>-1730.38</v>
      </c>
      <c r="BC720" s="6"/>
    </row>
    <row r="721" spans="32:55">
      <c r="AF721">
        <f t="shared" si="46"/>
        <v>0</v>
      </c>
      <c r="AG721" t="str">
        <f t="shared" si="47"/>
        <v>SrO (s)</v>
      </c>
      <c r="AH721" t="s">
        <v>2545</v>
      </c>
      <c r="AI721" t="s">
        <v>2545</v>
      </c>
      <c r="AJ721" t="s">
        <v>2545</v>
      </c>
      <c r="AL721" t="s">
        <v>2546</v>
      </c>
      <c r="AS721" t="s">
        <v>160</v>
      </c>
      <c r="AX721" s="6">
        <v>103.62</v>
      </c>
      <c r="AY721" s="6">
        <v>-592</v>
      </c>
      <c r="AZ721" s="6">
        <v>54.4</v>
      </c>
      <c r="BA721" s="6"/>
      <c r="BB721" s="6">
        <v>-561.9</v>
      </c>
      <c r="BC721" s="6"/>
    </row>
    <row r="722" spans="32:55">
      <c r="AF722">
        <f t="shared" si="46"/>
        <v>0</v>
      </c>
      <c r="AG722" t="str">
        <f t="shared" si="47"/>
        <v>SrSO₄ (s)</v>
      </c>
      <c r="AH722" t="s">
        <v>2547</v>
      </c>
      <c r="AI722" t="s">
        <v>2548</v>
      </c>
      <c r="AJ722" t="s">
        <v>2548</v>
      </c>
      <c r="AL722" t="s">
        <v>2549</v>
      </c>
      <c r="AS722" t="s">
        <v>160</v>
      </c>
      <c r="AX722" s="6">
        <v>183.68</v>
      </c>
      <c r="AY722" s="6">
        <v>-1453.1</v>
      </c>
      <c r="AZ722" s="6">
        <v>117</v>
      </c>
      <c r="BA722" s="6"/>
      <c r="BB722" s="6">
        <v>-1341</v>
      </c>
      <c r="BC722" s="6"/>
    </row>
    <row r="723" spans="32:55">
      <c r="AF723">
        <f t="shared" si="46"/>
        <v>0</v>
      </c>
      <c r="AG723" t="str">
        <f t="shared" si="47"/>
        <v>S (g)</v>
      </c>
      <c r="AH723" t="s">
        <v>2550</v>
      </c>
      <c r="AI723" t="s">
        <v>2550</v>
      </c>
      <c r="AJ723" t="s">
        <v>2550</v>
      </c>
      <c r="AL723" t="s">
        <v>2551</v>
      </c>
      <c r="AS723" t="s">
        <v>47</v>
      </c>
      <c r="AX723" s="6">
        <v>32.07</v>
      </c>
      <c r="AY723" s="6">
        <v>278.81</v>
      </c>
      <c r="AZ723" s="6">
        <v>167.82</v>
      </c>
      <c r="BA723" s="6"/>
      <c r="BB723" s="6">
        <v>238.28</v>
      </c>
      <c r="BC723" s="6"/>
    </row>
    <row r="724" spans="32:55">
      <c r="AF724">
        <f t="shared" si="46"/>
        <v>0</v>
      </c>
      <c r="AG724" t="str">
        <f t="shared" si="47"/>
        <v>S₈ (s)</v>
      </c>
      <c r="AH724" t="s">
        <v>2552</v>
      </c>
      <c r="AI724" t="s">
        <v>2553</v>
      </c>
      <c r="AJ724" t="s">
        <v>2553</v>
      </c>
      <c r="AL724" t="s">
        <v>2554</v>
      </c>
      <c r="AS724" t="s">
        <v>160</v>
      </c>
      <c r="AX724" s="6">
        <v>32.07</v>
      </c>
      <c r="AY724" s="6">
        <v>0</v>
      </c>
      <c r="AZ724" s="6">
        <v>32.054000000000002</v>
      </c>
      <c r="BA724" s="6"/>
      <c r="BB724" s="6">
        <v>0</v>
      </c>
      <c r="BC724" s="6"/>
    </row>
    <row r="725" spans="32:55">
      <c r="AF725">
        <f t="shared" si="46"/>
        <v>0</v>
      </c>
      <c r="AG725" t="str">
        <f t="shared" si="47"/>
        <v>S (s)</v>
      </c>
      <c r="AH725" t="s">
        <v>2550</v>
      </c>
      <c r="AI725" t="s">
        <v>2550</v>
      </c>
      <c r="AJ725" t="s">
        <v>2550</v>
      </c>
      <c r="AL725" t="s">
        <v>2555</v>
      </c>
      <c r="AS725" t="s">
        <v>160</v>
      </c>
      <c r="AX725" s="6">
        <v>32.07</v>
      </c>
      <c r="AY725" s="6">
        <v>0.377</v>
      </c>
      <c r="AZ725" s="6">
        <v>32.43</v>
      </c>
      <c r="BA725" s="6"/>
      <c r="BB725" s="6">
        <v>0.188</v>
      </c>
      <c r="BC725" s="6"/>
    </row>
    <row r="726" spans="32:55">
      <c r="AF726">
        <f t="shared" si="46"/>
        <v>0</v>
      </c>
      <c r="AG726" t="str">
        <f t="shared" si="47"/>
        <v>S₂ (g)</v>
      </c>
      <c r="AH726" t="s">
        <v>2556</v>
      </c>
      <c r="AI726" t="s">
        <v>2557</v>
      </c>
      <c r="AJ726" t="s">
        <v>2557</v>
      </c>
      <c r="AL726" t="s">
        <v>2558</v>
      </c>
      <c r="AS726" t="s">
        <v>47</v>
      </c>
      <c r="AX726" s="6">
        <v>64.13</v>
      </c>
      <c r="AY726" s="6">
        <v>128.6</v>
      </c>
      <c r="AZ726" s="6">
        <v>228.17</v>
      </c>
      <c r="BA726" s="6"/>
      <c r="BB726" s="6">
        <v>79.7</v>
      </c>
      <c r="BC726" s="6"/>
    </row>
    <row r="727" spans="32:55">
      <c r="AF727">
        <f t="shared" si="46"/>
        <v>0</v>
      </c>
      <c r="AG727" t="str">
        <f t="shared" si="47"/>
        <v>S₈ (g)</v>
      </c>
      <c r="AH727" t="s">
        <v>2552</v>
      </c>
      <c r="AI727" t="s">
        <v>2553</v>
      </c>
      <c r="AJ727" t="s">
        <v>2553</v>
      </c>
      <c r="AL727" t="s">
        <v>2559</v>
      </c>
      <c r="AS727" t="s">
        <v>47</v>
      </c>
      <c r="AX727" s="6">
        <v>256.52999999999997</v>
      </c>
      <c r="AY727" s="6">
        <v>102.3</v>
      </c>
      <c r="AZ727" s="6">
        <v>431.1</v>
      </c>
      <c r="BA727" s="6"/>
      <c r="BB727" s="6">
        <v>49.66</v>
      </c>
      <c r="BC727" s="6"/>
    </row>
    <row r="728" spans="32:55">
      <c r="AF728">
        <f t="shared" si="46"/>
        <v>0</v>
      </c>
      <c r="AG728" t="str">
        <f t="shared" si="47"/>
        <v>SO₂ (g)</v>
      </c>
      <c r="AH728" t="s">
        <v>2560</v>
      </c>
      <c r="AI728" t="s">
        <v>2561</v>
      </c>
      <c r="AJ728" t="s">
        <v>2561</v>
      </c>
      <c r="AL728" t="s">
        <v>2562</v>
      </c>
      <c r="AS728" t="s">
        <v>47</v>
      </c>
      <c r="AX728" s="6">
        <v>64.069999999999993</v>
      </c>
      <c r="AY728" s="6">
        <v>-296.81</v>
      </c>
      <c r="AZ728" s="6">
        <v>248.23</v>
      </c>
      <c r="BA728" s="6"/>
      <c r="BB728" s="6">
        <v>-300.10000000000002</v>
      </c>
      <c r="BC728" s="6"/>
    </row>
    <row r="729" spans="32:55">
      <c r="AF729">
        <f t="shared" si="46"/>
        <v>0</v>
      </c>
      <c r="AG729" t="str">
        <f t="shared" si="47"/>
        <v>SO₂ (aq)</v>
      </c>
      <c r="AH729" t="s">
        <v>2560</v>
      </c>
      <c r="AI729" t="s">
        <v>2561</v>
      </c>
      <c r="AJ729" t="s">
        <v>2561</v>
      </c>
      <c r="AL729" t="s">
        <v>2562</v>
      </c>
      <c r="AS729" t="s">
        <v>48</v>
      </c>
      <c r="AX729" s="6">
        <v>64.069999999999993</v>
      </c>
      <c r="AY729" s="6">
        <v>-322.98</v>
      </c>
      <c r="AZ729" s="6">
        <v>162.13</v>
      </c>
      <c r="BA729" s="6"/>
      <c r="BB729" s="6">
        <v>-300.70999999999998</v>
      </c>
      <c r="BC729" s="6"/>
    </row>
    <row r="730" spans="32:55">
      <c r="AF730">
        <f t="shared" si="46"/>
        <v>0</v>
      </c>
      <c r="AG730" t="str">
        <f t="shared" si="47"/>
        <v>H₂SO₃ (aq)</v>
      </c>
      <c r="AH730" t="s">
        <v>2563</v>
      </c>
      <c r="AI730" t="s">
        <v>2564</v>
      </c>
      <c r="AJ730" t="s">
        <v>2564</v>
      </c>
      <c r="AL730" t="s">
        <v>2565</v>
      </c>
      <c r="AS730" t="s">
        <v>48</v>
      </c>
      <c r="AX730" s="6">
        <v>82.08</v>
      </c>
      <c r="AY730" s="6">
        <v>-608.80999999999995</v>
      </c>
      <c r="AZ730" s="6">
        <v>232.2</v>
      </c>
      <c r="BA730" s="6"/>
      <c r="BB730" s="6">
        <v>-537.9</v>
      </c>
      <c r="BC730" s="6"/>
    </row>
    <row r="731" spans="32:55">
      <c r="AF731">
        <f t="shared" si="46"/>
        <v>0</v>
      </c>
      <c r="AG731" t="str">
        <f t="shared" si="47"/>
        <v>HSO₃⁻ (aq)</v>
      </c>
      <c r="AH731" t="s">
        <v>2566</v>
      </c>
      <c r="AI731" t="s">
        <v>2567</v>
      </c>
      <c r="AJ731" t="s">
        <v>2567</v>
      </c>
      <c r="AL731" t="s">
        <v>2568</v>
      </c>
      <c r="AS731" t="s">
        <v>48</v>
      </c>
      <c r="AX731" s="6">
        <v>81.069999999999993</v>
      </c>
      <c r="AY731" s="6">
        <v>-626.20000000000005</v>
      </c>
      <c r="AZ731" s="6">
        <v>139.69999999999999</v>
      </c>
      <c r="BA731" s="6"/>
      <c r="BB731" s="6">
        <v>-527.70000000000005</v>
      </c>
      <c r="BC731" s="6"/>
    </row>
    <row r="732" spans="32:55">
      <c r="AF732">
        <f t="shared" si="46"/>
        <v>0</v>
      </c>
      <c r="AG732" t="str">
        <f t="shared" si="47"/>
        <v>SO₃²⁻ (aq)</v>
      </c>
      <c r="AH732" t="s">
        <v>2569</v>
      </c>
      <c r="AI732" t="s">
        <v>2570</v>
      </c>
      <c r="AJ732" t="s">
        <v>2570</v>
      </c>
      <c r="AL732" t="s">
        <v>2571</v>
      </c>
      <c r="AS732" t="s">
        <v>48</v>
      </c>
      <c r="AX732" s="6">
        <v>80.06</v>
      </c>
      <c r="AY732" s="6">
        <v>-634.5</v>
      </c>
      <c r="AZ732" s="6">
        <v>-26.7</v>
      </c>
      <c r="BA732" s="6"/>
      <c r="BB732" s="6">
        <v>-486.6</v>
      </c>
      <c r="BC732" s="6"/>
    </row>
    <row r="733" spans="32:55">
      <c r="AF733">
        <f t="shared" si="46"/>
        <v>0</v>
      </c>
      <c r="AG733" t="str">
        <f t="shared" si="47"/>
        <v>H₂S (g)</v>
      </c>
      <c r="AH733" t="s">
        <v>2572</v>
      </c>
      <c r="AI733" t="s">
        <v>2573</v>
      </c>
      <c r="AJ733" t="s">
        <v>2573</v>
      </c>
      <c r="AL733" t="s">
        <v>2574</v>
      </c>
      <c r="AS733" t="s">
        <v>47</v>
      </c>
      <c r="AX733" s="6">
        <v>34.08</v>
      </c>
      <c r="AY733" s="6">
        <v>-20.63</v>
      </c>
      <c r="AZ733" s="6">
        <v>205.8</v>
      </c>
      <c r="BA733" s="6"/>
      <c r="BB733" s="6">
        <v>-33.51</v>
      </c>
      <c r="BC733" s="6"/>
    </row>
    <row r="734" spans="32:55">
      <c r="AF734">
        <f t="shared" si="46"/>
        <v>0</v>
      </c>
      <c r="AG734" t="str">
        <f t="shared" si="47"/>
        <v>H₂S (aq)</v>
      </c>
      <c r="AH734" t="s">
        <v>2572</v>
      </c>
      <c r="AI734" t="s">
        <v>2573</v>
      </c>
      <c r="AJ734" t="s">
        <v>2573</v>
      </c>
      <c r="AL734" t="s">
        <v>2574</v>
      </c>
      <c r="AS734" t="s">
        <v>48</v>
      </c>
      <c r="AX734" s="6">
        <v>34.08</v>
      </c>
      <c r="AY734" s="6">
        <v>-39.700000000000003</v>
      </c>
      <c r="AZ734" s="6">
        <v>129</v>
      </c>
      <c r="BA734" s="6"/>
      <c r="BB734" s="6">
        <v>-27.87</v>
      </c>
      <c r="BC734" s="6"/>
    </row>
    <row r="735" spans="32:55">
      <c r="AF735">
        <f t="shared" si="46"/>
        <v>0</v>
      </c>
      <c r="AG735" t="str">
        <f t="shared" si="47"/>
        <v>HS⁻ (aq)</v>
      </c>
      <c r="AH735" t="s">
        <v>2575</v>
      </c>
      <c r="AI735" t="s">
        <v>2576</v>
      </c>
      <c r="AJ735" t="s">
        <v>2576</v>
      </c>
      <c r="AL735" t="s">
        <v>2577</v>
      </c>
      <c r="AS735" t="s">
        <v>48</v>
      </c>
      <c r="AX735" s="6">
        <v>33.07</v>
      </c>
      <c r="AY735" s="6">
        <v>-17.600000000000001</v>
      </c>
      <c r="AZ735" s="6">
        <v>62.8</v>
      </c>
      <c r="BA735" s="6"/>
      <c r="BB735" s="6">
        <v>12.05</v>
      </c>
      <c r="BC735" s="6"/>
    </row>
    <row r="736" spans="32:55">
      <c r="AF736">
        <f t="shared" si="46"/>
        <v>0</v>
      </c>
      <c r="AG736" t="str">
        <f t="shared" si="47"/>
        <v>S²⁻ (aq)</v>
      </c>
      <c r="AH736" t="s">
        <v>2578</v>
      </c>
      <c r="AI736" t="s">
        <v>2579</v>
      </c>
      <c r="AJ736" t="s">
        <v>2579</v>
      </c>
      <c r="AL736" t="s">
        <v>2580</v>
      </c>
      <c r="AS736" t="s">
        <v>48</v>
      </c>
      <c r="AX736" s="6">
        <v>32.06</v>
      </c>
      <c r="AY736" s="6">
        <v>33.049999999999997</v>
      </c>
      <c r="AZ736" s="6">
        <v>16.3</v>
      </c>
      <c r="BA736" s="6"/>
      <c r="BB736" s="6">
        <v>86.31</v>
      </c>
      <c r="BC736" s="6"/>
    </row>
    <row r="737" spans="32:55">
      <c r="AF737">
        <f t="shared" si="46"/>
        <v>0</v>
      </c>
      <c r="AG737" t="str">
        <f t="shared" si="47"/>
        <v>S₂²⁻ (aq)</v>
      </c>
      <c r="AH737" t="s">
        <v>2581</v>
      </c>
      <c r="AI737" t="s">
        <v>2582</v>
      </c>
      <c r="AJ737" t="s">
        <v>2582</v>
      </c>
      <c r="AL737" t="s">
        <v>2583</v>
      </c>
      <c r="AS737" t="s">
        <v>48</v>
      </c>
      <c r="AX737" s="6">
        <v>64.13</v>
      </c>
      <c r="AY737" s="6">
        <v>30.1</v>
      </c>
      <c r="AZ737" s="6">
        <v>28.4</v>
      </c>
      <c r="BA737" s="6"/>
      <c r="BB737" s="6">
        <v>79.5</v>
      </c>
      <c r="BC737" s="6"/>
    </row>
    <row r="738" spans="32:55">
      <c r="AF738">
        <f t="shared" si="46"/>
        <v>0</v>
      </c>
      <c r="AG738" t="str">
        <f t="shared" si="47"/>
        <v>S₃²⁻ (aq)</v>
      </c>
      <c r="AH738" t="s">
        <v>2584</v>
      </c>
      <c r="AI738" t="s">
        <v>2585</v>
      </c>
      <c r="AJ738" t="s">
        <v>2585</v>
      </c>
      <c r="AL738" t="s">
        <v>2586</v>
      </c>
      <c r="AS738" t="s">
        <v>48</v>
      </c>
      <c r="AX738" s="6">
        <v>96.2</v>
      </c>
      <c r="AY738" s="6">
        <v>25.9</v>
      </c>
      <c r="AZ738" s="6">
        <v>65.5</v>
      </c>
      <c r="BA738" s="6"/>
      <c r="BB738" s="6">
        <v>73.599999999999994</v>
      </c>
      <c r="BC738" s="6"/>
    </row>
    <row r="739" spans="32:55">
      <c r="AF739">
        <f t="shared" si="46"/>
        <v>0</v>
      </c>
      <c r="AG739" t="str">
        <f t="shared" si="47"/>
        <v>H₂S₂O₈ (aq)</v>
      </c>
      <c r="AH739" t="s">
        <v>2587</v>
      </c>
      <c r="AI739" t="s">
        <v>2588</v>
      </c>
      <c r="AJ739" t="s">
        <v>2588</v>
      </c>
      <c r="AL739" t="s">
        <v>2589</v>
      </c>
      <c r="AS739" t="s">
        <v>48</v>
      </c>
      <c r="AX739" s="6">
        <v>194.15</v>
      </c>
      <c r="AY739" s="6">
        <v>-1338.9</v>
      </c>
      <c r="AZ739" s="6">
        <v>248.1</v>
      </c>
      <c r="BA739" s="6"/>
      <c r="BB739" s="6">
        <v>-1110.4000000000001</v>
      </c>
      <c r="BC739" s="6"/>
    </row>
    <row r="740" spans="32:55">
      <c r="AF740">
        <f t="shared" si="46"/>
        <v>0</v>
      </c>
      <c r="AG740" t="str">
        <f t="shared" si="47"/>
        <v>H₂SO₄ (l)</v>
      </c>
      <c r="AH740" t="s">
        <v>2590</v>
      </c>
      <c r="AI740" t="s">
        <v>2591</v>
      </c>
      <c r="AJ740" t="s">
        <v>2591</v>
      </c>
      <c r="AL740" t="s">
        <v>2592</v>
      </c>
      <c r="AS740" t="s">
        <v>239</v>
      </c>
      <c r="AX740" s="6">
        <v>98.08</v>
      </c>
      <c r="AY740" s="6">
        <v>-813.99</v>
      </c>
      <c r="AZ740" s="6">
        <v>156.9</v>
      </c>
      <c r="BA740" s="6"/>
      <c r="BB740" s="6">
        <v>-690</v>
      </c>
      <c r="BC740" s="6"/>
    </row>
    <row r="741" spans="32:55">
      <c r="AF741">
        <f t="shared" si="46"/>
        <v>0</v>
      </c>
      <c r="AG741" t="str">
        <f t="shared" si="47"/>
        <v>H₂SO₄ (aq)</v>
      </c>
      <c r="AH741" t="s">
        <v>2590</v>
      </c>
      <c r="AI741" t="s">
        <v>2591</v>
      </c>
      <c r="AJ741" t="s">
        <v>2591</v>
      </c>
      <c r="AL741" t="s">
        <v>2592</v>
      </c>
      <c r="AS741" t="s">
        <v>48</v>
      </c>
      <c r="AX741" s="6">
        <v>98.08</v>
      </c>
      <c r="AY741" s="6">
        <v>-909.3</v>
      </c>
      <c r="AZ741" s="6">
        <v>20.100000000000001</v>
      </c>
      <c r="BA741" s="6"/>
      <c r="BB741" s="6">
        <v>-744.53</v>
      </c>
      <c r="BC741" s="6"/>
    </row>
    <row r="742" spans="32:55">
      <c r="AF742">
        <f t="shared" si="46"/>
        <v>0</v>
      </c>
      <c r="AG742" t="str">
        <f t="shared" si="47"/>
        <v>HSO₄⁻ (aq)</v>
      </c>
      <c r="AH742" t="s">
        <v>2593</v>
      </c>
      <c r="AI742" t="s">
        <v>2594</v>
      </c>
      <c r="AJ742" t="s">
        <v>2594</v>
      </c>
      <c r="AL742" t="s">
        <v>2595</v>
      </c>
      <c r="AS742" t="s">
        <v>48</v>
      </c>
      <c r="AX742" s="6">
        <v>97.08</v>
      </c>
      <c r="AY742" s="6">
        <v>-887.3</v>
      </c>
      <c r="AZ742" s="6">
        <v>131.80000000000001</v>
      </c>
      <c r="BA742" s="6"/>
      <c r="BB742" s="6">
        <v>-755.9</v>
      </c>
      <c r="BC742" s="6"/>
    </row>
    <row r="743" spans="32:55">
      <c r="AF743">
        <f t="shared" si="46"/>
        <v>0</v>
      </c>
      <c r="AG743" t="str">
        <f t="shared" si="47"/>
        <v>SO₄²⁻ (aq)</v>
      </c>
      <c r="AH743" t="s">
        <v>2596</v>
      </c>
      <c r="AI743" t="s">
        <v>2597</v>
      </c>
      <c r="AJ743" t="s">
        <v>2597</v>
      </c>
      <c r="AL743" t="s">
        <v>2598</v>
      </c>
      <c r="AS743" t="s">
        <v>48</v>
      </c>
      <c r="AX743" s="6">
        <v>96.07</v>
      </c>
      <c r="AY743" s="6">
        <v>-909.34</v>
      </c>
      <c r="AZ743" s="6">
        <v>18.5</v>
      </c>
      <c r="BA743" s="6"/>
      <c r="BB743" s="6">
        <v>-744.63</v>
      </c>
      <c r="BC743" s="6"/>
    </row>
    <row r="744" spans="32:55">
      <c r="AF744">
        <f t="shared" si="46"/>
        <v>0</v>
      </c>
      <c r="AG744" t="str">
        <f t="shared" si="47"/>
        <v>SO₂Cl₂ (g)</v>
      </c>
      <c r="AH744" t="s">
        <v>2599</v>
      </c>
      <c r="AI744" t="s">
        <v>2600</v>
      </c>
      <c r="AJ744" t="s">
        <v>2600</v>
      </c>
      <c r="AL744" t="s">
        <v>2601</v>
      </c>
      <c r="AS744" t="s">
        <v>47</v>
      </c>
      <c r="AX744" s="6">
        <v>134.97999999999999</v>
      </c>
      <c r="AY744" s="6">
        <v>-364</v>
      </c>
      <c r="AZ744" s="6">
        <v>311.94</v>
      </c>
      <c r="BA744" s="6"/>
      <c r="BB744" s="6">
        <v>-320</v>
      </c>
      <c r="BC744" s="6"/>
    </row>
    <row r="745" spans="32:55">
      <c r="AF745">
        <f t="shared" si="46"/>
        <v>0</v>
      </c>
      <c r="AG745" t="str">
        <f t="shared" si="47"/>
        <v>SO₃ (g)</v>
      </c>
      <c r="AH745" t="s">
        <v>2602</v>
      </c>
      <c r="AI745" t="s">
        <v>2603</v>
      </c>
      <c r="AJ745" t="s">
        <v>2603</v>
      </c>
      <c r="AL745" t="s">
        <v>2604</v>
      </c>
      <c r="AS745" t="s">
        <v>47</v>
      </c>
      <c r="AX745" s="6">
        <v>80.06</v>
      </c>
      <c r="AY745" s="6">
        <v>-395.72</v>
      </c>
      <c r="AZ745" s="6">
        <v>256.83</v>
      </c>
      <c r="BA745" s="6"/>
      <c r="BB745" s="6">
        <v>-371.03</v>
      </c>
      <c r="BC745" s="6"/>
    </row>
    <row r="746" spans="32:55">
      <c r="AF746">
        <f t="shared" si="46"/>
        <v>0</v>
      </c>
      <c r="AG746" t="str">
        <f t="shared" si="47"/>
        <v>SOCl₂ (g)</v>
      </c>
      <c r="AH746" t="s">
        <v>2605</v>
      </c>
      <c r="AI746" t="s">
        <v>2606</v>
      </c>
      <c r="AJ746" t="s">
        <v>2606</v>
      </c>
      <c r="AL746" t="s">
        <v>2607</v>
      </c>
      <c r="AS746" t="s">
        <v>47</v>
      </c>
      <c r="AX746" s="6">
        <v>118.97</v>
      </c>
      <c r="AY746" s="6">
        <v>-212.55</v>
      </c>
      <c r="AZ746" s="6">
        <v>310.14</v>
      </c>
      <c r="BA746" s="6"/>
      <c r="BB746" s="6">
        <v>-198.3</v>
      </c>
      <c r="BC746" s="6"/>
    </row>
    <row r="747" spans="32:55">
      <c r="AF747">
        <f t="shared" si="46"/>
        <v>0</v>
      </c>
      <c r="AG747" t="str">
        <f t="shared" si="47"/>
        <v/>
      </c>
      <c r="AH747" t="s">
        <v>2608</v>
      </c>
      <c r="AI747" t="s">
        <v>2609</v>
      </c>
      <c r="AJ747" t="s">
        <v>2609</v>
      </c>
      <c r="AK747" t="s">
        <v>2610</v>
      </c>
      <c r="AL747" t="s">
        <v>2611</v>
      </c>
      <c r="AS747" t="s">
        <v>220</v>
      </c>
      <c r="AX747" s="6">
        <v>97.09</v>
      </c>
      <c r="AY747" s="6" t="s">
        <v>168</v>
      </c>
      <c r="AZ747" s="6" t="s">
        <v>168</v>
      </c>
      <c r="BA747" s="6"/>
      <c r="BB747" s="6" t="s">
        <v>168</v>
      </c>
      <c r="BC747" s="6"/>
    </row>
    <row r="748" spans="32:55">
      <c r="AF748">
        <f t="shared" si="46"/>
        <v>0</v>
      </c>
      <c r="AG748" t="str">
        <f t="shared" si="47"/>
        <v>S₂O₃²⁻ (aq)</v>
      </c>
      <c r="AH748" t="s">
        <v>2612</v>
      </c>
      <c r="AI748" t="s">
        <v>2613</v>
      </c>
      <c r="AJ748" t="s">
        <v>2613</v>
      </c>
      <c r="AL748" t="s">
        <v>2614</v>
      </c>
      <c r="AS748" t="s">
        <v>48</v>
      </c>
      <c r="AX748" s="6">
        <v>112.13</v>
      </c>
      <c r="AY748" s="6">
        <v>-652.29999999999995</v>
      </c>
      <c r="AZ748" s="6" t="s">
        <v>168</v>
      </c>
      <c r="BA748" s="6"/>
      <c r="BB748" s="6">
        <v>-518.79999999999995</v>
      </c>
      <c r="BC748" s="6"/>
    </row>
    <row r="749" spans="32:55">
      <c r="AF749">
        <f t="shared" si="46"/>
        <v>0</v>
      </c>
      <c r="AG749" t="str">
        <f t="shared" si="47"/>
        <v/>
      </c>
      <c r="AH749" t="s">
        <v>2615</v>
      </c>
      <c r="AI749" t="s">
        <v>2616</v>
      </c>
      <c r="AJ749" t="s">
        <v>2616</v>
      </c>
      <c r="AL749" t="s">
        <v>2617</v>
      </c>
      <c r="AS749" t="s">
        <v>220</v>
      </c>
      <c r="AX749" s="6">
        <v>116.53</v>
      </c>
      <c r="AY749" s="6" t="s">
        <v>168</v>
      </c>
      <c r="AZ749" s="6" t="s">
        <v>168</v>
      </c>
      <c r="BA749" s="6"/>
      <c r="BB749" s="6" t="s">
        <v>168</v>
      </c>
      <c r="BC749" s="6"/>
    </row>
    <row r="750" spans="32:55">
      <c r="AF750">
        <f t="shared" si="46"/>
        <v>0</v>
      </c>
      <c r="AG750" t="str">
        <f t="shared" si="47"/>
        <v>SF₆ (g)</v>
      </c>
      <c r="AH750" t="s">
        <v>2618</v>
      </c>
      <c r="AI750" t="s">
        <v>2619</v>
      </c>
      <c r="AJ750" t="s">
        <v>2619</v>
      </c>
      <c r="AL750" t="s">
        <v>2620</v>
      </c>
      <c r="AS750" t="s">
        <v>47</v>
      </c>
      <c r="AX750" s="6">
        <v>146.06</v>
      </c>
      <c r="AY750" s="6">
        <v>-1220.5</v>
      </c>
      <c r="AZ750" s="6">
        <v>291.5</v>
      </c>
      <c r="BA750" s="6"/>
      <c r="BB750" s="6">
        <v>-1106.5</v>
      </c>
      <c r="BC750" s="6"/>
    </row>
    <row r="751" spans="32:55">
      <c r="AF751">
        <f t="shared" si="46"/>
        <v>0</v>
      </c>
      <c r="AG751" t="str">
        <f t="shared" si="47"/>
        <v>Ag (s)</v>
      </c>
      <c r="AH751" t="s">
        <v>2621</v>
      </c>
      <c r="AI751" t="s">
        <v>2621</v>
      </c>
      <c r="AJ751" t="s">
        <v>2621</v>
      </c>
      <c r="AL751" t="s">
        <v>2622</v>
      </c>
      <c r="AS751" t="s">
        <v>160</v>
      </c>
      <c r="AX751" s="6">
        <v>107.87</v>
      </c>
      <c r="AY751" s="6">
        <v>0</v>
      </c>
      <c r="AZ751" s="6">
        <v>42.55</v>
      </c>
      <c r="BA751" s="6"/>
      <c r="BB751" s="6">
        <v>0</v>
      </c>
      <c r="BC751" s="6"/>
    </row>
    <row r="752" spans="32:55">
      <c r="AF752">
        <f t="shared" si="46"/>
        <v>0</v>
      </c>
      <c r="AG752" t="str">
        <f t="shared" si="47"/>
        <v>Ag⁺ (aq)</v>
      </c>
      <c r="AH752" t="s">
        <v>2623</v>
      </c>
      <c r="AI752" t="s">
        <v>2624</v>
      </c>
      <c r="AJ752" t="s">
        <v>2624</v>
      </c>
      <c r="AK752" t="s">
        <v>2625</v>
      </c>
      <c r="AL752" t="s">
        <v>2626</v>
      </c>
      <c r="AS752" t="s">
        <v>48</v>
      </c>
      <c r="AX752" s="6">
        <v>107.87</v>
      </c>
      <c r="AY752" s="6">
        <v>105.79</v>
      </c>
      <c r="AZ752" s="6">
        <v>73.45</v>
      </c>
      <c r="BA752" s="6"/>
      <c r="BB752" s="6">
        <v>77.16</v>
      </c>
      <c r="BC752" s="6"/>
    </row>
    <row r="753" spans="32:55">
      <c r="AF753">
        <f t="shared" si="46"/>
        <v>0</v>
      </c>
      <c r="AG753" t="str">
        <f t="shared" si="47"/>
        <v>AgBrO₃ (s)</v>
      </c>
      <c r="AH753" t="s">
        <v>2627</v>
      </c>
      <c r="AI753" t="s">
        <v>2628</v>
      </c>
      <c r="AJ753" t="s">
        <v>2628</v>
      </c>
      <c r="AK753" t="s">
        <v>2629</v>
      </c>
      <c r="AL753" t="s">
        <v>2630</v>
      </c>
      <c r="AS753" t="s">
        <v>160</v>
      </c>
      <c r="AX753" s="6">
        <v>235.77</v>
      </c>
      <c r="AY753" s="6">
        <v>-10.5</v>
      </c>
      <c r="AZ753" s="6">
        <v>151.9</v>
      </c>
      <c r="BA753" s="6"/>
      <c r="BB753" s="6">
        <v>71.3</v>
      </c>
      <c r="BC753" s="6"/>
    </row>
    <row r="754" spans="32:55">
      <c r="AF754">
        <f t="shared" si="46"/>
        <v>0</v>
      </c>
      <c r="AG754" t="str">
        <f t="shared" si="47"/>
        <v>AgBr (s)</v>
      </c>
      <c r="AH754" t="s">
        <v>2631</v>
      </c>
      <c r="AI754" t="s">
        <v>2631</v>
      </c>
      <c r="AJ754" t="s">
        <v>2631</v>
      </c>
      <c r="AK754" t="s">
        <v>2632</v>
      </c>
      <c r="AL754" t="s">
        <v>2633</v>
      </c>
      <c r="AS754" t="s">
        <v>160</v>
      </c>
      <c r="AX754" s="6">
        <v>187.77</v>
      </c>
      <c r="AY754" s="6">
        <v>-100.42</v>
      </c>
      <c r="AZ754" s="6">
        <v>107.16</v>
      </c>
      <c r="BA754" s="6"/>
      <c r="BB754" s="6">
        <v>-96.95</v>
      </c>
      <c r="BC754" s="6"/>
    </row>
    <row r="755" spans="32:55">
      <c r="AF755">
        <f t="shared" si="46"/>
        <v>0</v>
      </c>
      <c r="AG755" t="str">
        <f t="shared" si="47"/>
        <v>Ag₂CO₃ (s)</v>
      </c>
      <c r="AH755" t="s">
        <v>2634</v>
      </c>
      <c r="AI755" t="s">
        <v>2635</v>
      </c>
      <c r="AJ755" t="s">
        <v>2635</v>
      </c>
      <c r="AK755" t="s">
        <v>2636</v>
      </c>
      <c r="AL755" t="s">
        <v>2637</v>
      </c>
      <c r="AS755" t="s">
        <v>160</v>
      </c>
      <c r="AX755" s="6">
        <v>275.75</v>
      </c>
      <c r="AY755" s="6">
        <v>-506.09</v>
      </c>
      <c r="AZ755" s="6">
        <v>167.44</v>
      </c>
      <c r="BA755" s="6"/>
      <c r="BB755" s="6">
        <v>-437.02</v>
      </c>
      <c r="BC755" s="6"/>
    </row>
    <row r="756" spans="32:55">
      <c r="AF756">
        <f t="shared" si="46"/>
        <v>0</v>
      </c>
      <c r="AG756" t="str">
        <f t="shared" si="47"/>
        <v>AgCl (s)</v>
      </c>
      <c r="AH756" t="s">
        <v>2638</v>
      </c>
      <c r="AI756" t="s">
        <v>2638</v>
      </c>
      <c r="AJ756" t="s">
        <v>2638</v>
      </c>
      <c r="AK756" t="s">
        <v>2639</v>
      </c>
      <c r="AL756" t="s">
        <v>2640</v>
      </c>
      <c r="AS756" t="s">
        <v>160</v>
      </c>
      <c r="AX756" s="6">
        <v>143.32</v>
      </c>
      <c r="AY756" s="6">
        <v>-127.01</v>
      </c>
      <c r="AZ756" s="6">
        <v>96.25</v>
      </c>
      <c r="BA756" s="6"/>
      <c r="BB756" s="6">
        <v>-109.86</v>
      </c>
      <c r="BC756" s="6"/>
    </row>
    <row r="757" spans="32:55">
      <c r="AF757">
        <f t="shared" si="46"/>
        <v>0</v>
      </c>
      <c r="AG757" t="str">
        <f t="shared" si="47"/>
        <v>Ag₂CrO₄ (s)</v>
      </c>
      <c r="AH757" t="s">
        <v>2641</v>
      </c>
      <c r="AI757" t="s">
        <v>2642</v>
      </c>
      <c r="AJ757" t="s">
        <v>2642</v>
      </c>
      <c r="AK757" t="s">
        <v>2643</v>
      </c>
      <c r="AL757" t="s">
        <v>2644</v>
      </c>
      <c r="AS757" t="s">
        <v>160</v>
      </c>
      <c r="AX757" s="6">
        <v>331.73</v>
      </c>
      <c r="AY757" s="6">
        <v>-731.7</v>
      </c>
      <c r="AZ757" s="6">
        <v>217.6</v>
      </c>
      <c r="BA757" s="6"/>
      <c r="BB757" s="6">
        <v>-641.79999999999995</v>
      </c>
      <c r="BC757" s="6"/>
    </row>
    <row r="758" spans="32:55">
      <c r="AF758">
        <f t="shared" si="46"/>
        <v>0</v>
      </c>
      <c r="AG758" t="str">
        <f t="shared" si="47"/>
        <v>AgCN (s)</v>
      </c>
      <c r="AH758" t="s">
        <v>2645</v>
      </c>
      <c r="AI758" t="s">
        <v>2645</v>
      </c>
      <c r="AJ758" t="s">
        <v>2645</v>
      </c>
      <c r="AK758" t="s">
        <v>2646</v>
      </c>
      <c r="AL758" t="s">
        <v>2647</v>
      </c>
      <c r="AS758" t="s">
        <v>160</v>
      </c>
      <c r="AX758" s="6">
        <v>133.88999999999999</v>
      </c>
      <c r="AY758" s="6">
        <v>146.09</v>
      </c>
      <c r="AZ758" s="6">
        <v>107.25</v>
      </c>
      <c r="BA758" s="6"/>
      <c r="BB758" s="6">
        <v>157.01</v>
      </c>
      <c r="BC758" s="6"/>
    </row>
    <row r="759" spans="32:55">
      <c r="AF759">
        <f t="shared" si="46"/>
        <v>0</v>
      </c>
      <c r="AG759" t="str">
        <f t="shared" si="47"/>
        <v>AgF (s)</v>
      </c>
      <c r="AH759" t="s">
        <v>2648</v>
      </c>
      <c r="AI759" t="s">
        <v>2648</v>
      </c>
      <c r="AJ759" t="s">
        <v>2648</v>
      </c>
      <c r="AK759" t="s">
        <v>2649</v>
      </c>
      <c r="AL759" t="s">
        <v>2650</v>
      </c>
      <c r="AS759" t="s">
        <v>160</v>
      </c>
      <c r="AX759" s="6">
        <v>126.87</v>
      </c>
      <c r="AY759" s="6">
        <v>-204.6</v>
      </c>
      <c r="AZ759" s="6">
        <v>83.72</v>
      </c>
      <c r="BA759" s="6"/>
      <c r="BB759" s="6">
        <v>-187.96</v>
      </c>
      <c r="BC759" s="6"/>
    </row>
    <row r="760" spans="32:55">
      <c r="AF760">
        <f t="shared" si="46"/>
        <v>0</v>
      </c>
      <c r="AG760" t="str">
        <f t="shared" si="47"/>
        <v>AgIO₃ (s)</v>
      </c>
      <c r="AH760" t="s">
        <v>2651</v>
      </c>
      <c r="AI760" t="s">
        <v>2652</v>
      </c>
      <c r="AJ760" t="s">
        <v>2652</v>
      </c>
      <c r="AK760" t="s">
        <v>2653</v>
      </c>
      <c r="AL760" t="s">
        <v>2654</v>
      </c>
      <c r="AS760" t="s">
        <v>160</v>
      </c>
      <c r="AX760" s="6">
        <v>282.77</v>
      </c>
      <c r="AY760" s="6">
        <v>-171.1</v>
      </c>
      <c r="AZ760" s="6">
        <v>149.4</v>
      </c>
      <c r="BA760" s="6"/>
      <c r="BB760" s="6">
        <v>-149.4</v>
      </c>
      <c r="BC760" s="6"/>
    </row>
    <row r="761" spans="32:55">
      <c r="AF761">
        <f t="shared" si="46"/>
        <v>0</v>
      </c>
      <c r="AG761" t="str">
        <f t="shared" si="47"/>
        <v>AgI (s)</v>
      </c>
      <c r="AH761" t="s">
        <v>2655</v>
      </c>
      <c r="AI761" t="s">
        <v>2655</v>
      </c>
      <c r="AJ761" t="s">
        <v>2655</v>
      </c>
      <c r="AK761" t="s">
        <v>2656</v>
      </c>
      <c r="AL761" t="s">
        <v>2657</v>
      </c>
      <c r="AS761" t="s">
        <v>160</v>
      </c>
      <c r="AX761" s="6">
        <v>234.77</v>
      </c>
      <c r="AY761" s="6" t="s">
        <v>2658</v>
      </c>
      <c r="AZ761" s="6">
        <v>115.53</v>
      </c>
      <c r="BA761" s="6"/>
      <c r="BB761" s="6">
        <v>-66.22</v>
      </c>
    </row>
    <row r="762" spans="32:55">
      <c r="AF762">
        <f t="shared" si="46"/>
        <v>0</v>
      </c>
      <c r="AG762" t="str">
        <f t="shared" si="47"/>
        <v>AgNO₃ (s)</v>
      </c>
      <c r="AH762" t="s">
        <v>2659</v>
      </c>
      <c r="AI762" t="s">
        <v>2660</v>
      </c>
      <c r="AJ762" t="s">
        <v>2660</v>
      </c>
      <c r="AK762" t="s">
        <v>2661</v>
      </c>
      <c r="AL762" t="s">
        <v>2662</v>
      </c>
      <c r="AS762" t="s">
        <v>160</v>
      </c>
      <c r="AX762" s="6">
        <v>169.87</v>
      </c>
      <c r="AY762" s="6" t="s">
        <v>2663</v>
      </c>
      <c r="AZ762" s="6">
        <v>140.97999999999999</v>
      </c>
      <c r="BA762" s="6"/>
      <c r="BB762" s="6">
        <v>-33.44</v>
      </c>
    </row>
    <row r="763" spans="32:55">
      <c r="AF763">
        <f t="shared" si="46"/>
        <v>0</v>
      </c>
      <c r="AG763" t="str">
        <f t="shared" si="47"/>
        <v>Ag₃PO₄ (s)</v>
      </c>
      <c r="AH763" t="s">
        <v>2664</v>
      </c>
      <c r="AI763" t="s">
        <v>2665</v>
      </c>
      <c r="AJ763" t="s">
        <v>2665</v>
      </c>
      <c r="AK763" t="s">
        <v>2666</v>
      </c>
      <c r="AL763" t="s">
        <v>2667</v>
      </c>
      <c r="AS763" t="s">
        <v>160</v>
      </c>
      <c r="AX763" s="6">
        <v>418.58</v>
      </c>
      <c r="AY763" s="6" t="s">
        <v>2668</v>
      </c>
      <c r="AZ763" s="6">
        <v>258.27999999999997</v>
      </c>
      <c r="BA763" s="6"/>
      <c r="BB763" s="6">
        <v>-879</v>
      </c>
    </row>
    <row r="764" spans="32:55">
      <c r="AF764">
        <f t="shared" si="46"/>
        <v>0</v>
      </c>
      <c r="AG764" t="str">
        <f t="shared" si="47"/>
        <v>Ag₂O (s)</v>
      </c>
      <c r="AH764" t="s">
        <v>2669</v>
      </c>
      <c r="AI764" t="s">
        <v>2670</v>
      </c>
      <c r="AJ764" t="s">
        <v>2670</v>
      </c>
      <c r="AK764" t="s">
        <v>2671</v>
      </c>
      <c r="AL764" t="s">
        <v>2672</v>
      </c>
      <c r="AS764" t="s">
        <v>160</v>
      </c>
      <c r="AX764" s="6">
        <v>231.74</v>
      </c>
      <c r="AY764" s="6" t="s">
        <v>2673</v>
      </c>
      <c r="AZ764" s="6">
        <v>121.39</v>
      </c>
      <c r="BA764" s="6"/>
      <c r="BB764" s="6">
        <v>-11.22</v>
      </c>
    </row>
    <row r="765" spans="32:55">
      <c r="AF765">
        <f t="shared" si="46"/>
        <v>0</v>
      </c>
      <c r="AG765" t="str">
        <f t="shared" si="47"/>
        <v>AgO (s)</v>
      </c>
      <c r="AH765" t="s">
        <v>2674</v>
      </c>
      <c r="AI765" t="s">
        <v>2674</v>
      </c>
      <c r="AJ765" t="s">
        <v>2674</v>
      </c>
      <c r="AL765" t="s">
        <v>2675</v>
      </c>
      <c r="AS765" t="s">
        <v>160</v>
      </c>
      <c r="AX765" s="6">
        <v>123.87</v>
      </c>
      <c r="AY765" s="6" t="s">
        <v>2676</v>
      </c>
      <c r="AZ765" s="6">
        <v>117</v>
      </c>
      <c r="BA765" s="6"/>
      <c r="BB765" s="6">
        <v>27.6</v>
      </c>
    </row>
    <row r="766" spans="32:55">
      <c r="AF766">
        <f t="shared" si="46"/>
        <v>0</v>
      </c>
      <c r="AG766" t="str">
        <f t="shared" si="47"/>
        <v>Ag₂SO₄ (s)</v>
      </c>
      <c r="AH766" t="s">
        <v>2677</v>
      </c>
      <c r="AI766" t="s">
        <v>2678</v>
      </c>
      <c r="AJ766" t="s">
        <v>2678</v>
      </c>
      <c r="AK766" t="s">
        <v>2679</v>
      </c>
      <c r="AL766" t="s">
        <v>2680</v>
      </c>
      <c r="AS766" t="s">
        <v>160</v>
      </c>
      <c r="AX766" s="6">
        <v>311.8</v>
      </c>
      <c r="AY766" s="6" t="s">
        <v>2681</v>
      </c>
      <c r="AZ766" s="6">
        <v>200.4</v>
      </c>
      <c r="BA766" s="6"/>
      <c r="BB766" s="6">
        <v>-618.4</v>
      </c>
    </row>
    <row r="767" spans="32:55">
      <c r="AF767">
        <f t="shared" si="46"/>
        <v>0</v>
      </c>
      <c r="AG767" t="str">
        <f t="shared" si="47"/>
        <v>Ag₂S (s)</v>
      </c>
      <c r="AH767" t="s">
        <v>2682</v>
      </c>
      <c r="AI767" t="s">
        <v>2683</v>
      </c>
      <c r="AJ767" t="s">
        <v>2683</v>
      </c>
      <c r="AK767" t="s">
        <v>2684</v>
      </c>
      <c r="AL767" t="s">
        <v>2685</v>
      </c>
      <c r="AS767" t="s">
        <v>160</v>
      </c>
      <c r="AX767" s="6">
        <v>247.8</v>
      </c>
      <c r="AY767" s="6" t="s">
        <v>2686</v>
      </c>
      <c r="AZ767" s="6">
        <v>144.08000000000001</v>
      </c>
      <c r="BA767" s="6"/>
      <c r="BB767" s="6">
        <v>-40.69</v>
      </c>
    </row>
    <row r="768" spans="32:55">
      <c r="AF768">
        <f t="shared" si="46"/>
        <v>0</v>
      </c>
      <c r="AG768" t="str">
        <f t="shared" si="47"/>
        <v>Ag₂S (s,beta)</v>
      </c>
      <c r="AH768" t="s">
        <v>2682</v>
      </c>
      <c r="AI768" t="s">
        <v>2683</v>
      </c>
      <c r="AJ768" t="s">
        <v>2683</v>
      </c>
      <c r="AL768" t="s">
        <v>2685</v>
      </c>
      <c r="AS768" t="s">
        <v>5796</v>
      </c>
      <c r="AX768" s="6">
        <v>247.8</v>
      </c>
      <c r="AY768" s="6" t="s">
        <v>2687</v>
      </c>
      <c r="AZ768" s="6">
        <v>150.69999999999999</v>
      </c>
      <c r="BA768" s="6"/>
      <c r="BB768" s="6">
        <v>-39.47</v>
      </c>
    </row>
    <row r="769" spans="32:55">
      <c r="AF769">
        <f t="shared" si="46"/>
        <v>0</v>
      </c>
      <c r="AG769" t="str">
        <f t="shared" si="47"/>
        <v>Th (s)</v>
      </c>
      <c r="AH769" t="s">
        <v>2688</v>
      </c>
      <c r="AI769" t="s">
        <v>2688</v>
      </c>
      <c r="AJ769" t="s">
        <v>2688</v>
      </c>
      <c r="AL769" t="s">
        <v>2689</v>
      </c>
      <c r="AS769" t="s">
        <v>160</v>
      </c>
      <c r="AX769" s="6">
        <v>232.04</v>
      </c>
      <c r="AY769" s="6" t="s">
        <v>161</v>
      </c>
      <c r="AZ769" s="6">
        <v>51.8</v>
      </c>
      <c r="BA769" s="6"/>
      <c r="BB769" s="6">
        <v>0</v>
      </c>
    </row>
    <row r="770" spans="32:55">
      <c r="AF770">
        <f t="shared" si="46"/>
        <v>0</v>
      </c>
      <c r="AG770" t="str">
        <f t="shared" si="47"/>
        <v>Th⁴⁺ (aq)</v>
      </c>
      <c r="AH770" t="s">
        <v>2690</v>
      </c>
      <c r="AI770" t="s">
        <v>2691</v>
      </c>
      <c r="AJ770" t="s">
        <v>2691</v>
      </c>
      <c r="AL770" t="s">
        <v>2692</v>
      </c>
      <c r="AS770" t="s">
        <v>48</v>
      </c>
      <c r="AX770" s="6">
        <v>232.04</v>
      </c>
      <c r="AY770" s="6" t="s">
        <v>2693</v>
      </c>
      <c r="AZ770" s="6">
        <v>-423</v>
      </c>
      <c r="BA770" s="6"/>
      <c r="BB770" s="6">
        <v>-704.9</v>
      </c>
    </row>
    <row r="771" spans="32:55">
      <c r="AF771">
        <f t="shared" ref="AF771:AF834" si="48">IF(OR(AG771="",COUNTIF(AG:AG, AG771) = 1),0, "1")</f>
        <v>0</v>
      </c>
      <c r="AG771" t="str">
        <f t="shared" ref="AG771:AG834" si="49">IF(AS771 &lt;&gt; "",AH771&amp;" ("&amp;AS771 &amp;")","")</f>
        <v>Th(NO₃)₄ (s)</v>
      </c>
      <c r="AH771" t="s">
        <v>2694</v>
      </c>
      <c r="AI771" t="s">
        <v>2695</v>
      </c>
      <c r="AJ771" t="s">
        <v>2696</v>
      </c>
      <c r="AL771" t="s">
        <v>2697</v>
      </c>
      <c r="AS771" t="s">
        <v>160</v>
      </c>
      <c r="AX771" s="6">
        <v>480.06</v>
      </c>
      <c r="AY771" s="6" t="s">
        <v>2698</v>
      </c>
      <c r="AZ771" s="6" t="s">
        <v>168</v>
      </c>
      <c r="BA771" s="6"/>
      <c r="BB771" s="6"/>
      <c r="BC771" s="6"/>
    </row>
    <row r="772" spans="32:55">
      <c r="AF772">
        <f t="shared" si="48"/>
        <v>0</v>
      </c>
      <c r="AG772" t="str">
        <f t="shared" si="49"/>
        <v>Th(NO₃)₅∙5H₂O (s)</v>
      </c>
      <c r="AH772" t="s">
        <v>2699</v>
      </c>
      <c r="AI772" t="s">
        <v>2700</v>
      </c>
      <c r="AJ772" t="s">
        <v>2701</v>
      </c>
      <c r="AL772" t="s">
        <v>2702</v>
      </c>
      <c r="AS772" t="s">
        <v>160</v>
      </c>
      <c r="AX772" s="6">
        <v>570.13</v>
      </c>
      <c r="AY772" s="6" t="s">
        <v>2703</v>
      </c>
      <c r="AZ772" s="6">
        <v>543.1</v>
      </c>
      <c r="BA772" s="6"/>
      <c r="BB772" s="6">
        <v>-2325.1999999999998</v>
      </c>
    </row>
    <row r="773" spans="32:55">
      <c r="AF773">
        <f t="shared" si="48"/>
        <v>0</v>
      </c>
      <c r="AG773" t="str">
        <f t="shared" si="49"/>
        <v/>
      </c>
      <c r="AH773" t="s">
        <v>2704</v>
      </c>
      <c r="AI773" t="s">
        <v>2705</v>
      </c>
      <c r="AJ773" t="s">
        <v>2706</v>
      </c>
      <c r="AL773" t="s">
        <v>2707</v>
      </c>
      <c r="AS773" t="s">
        <v>220</v>
      </c>
      <c r="AX773" s="6">
        <v>696.24</v>
      </c>
      <c r="AY773" s="6" t="s">
        <v>168</v>
      </c>
      <c r="AZ773" s="6" t="s">
        <v>168</v>
      </c>
      <c r="BA773" s="6"/>
      <c r="BB773" s="6"/>
      <c r="BC773" s="6"/>
    </row>
    <row r="774" spans="32:55">
      <c r="AF774">
        <f t="shared" si="48"/>
        <v>0</v>
      </c>
      <c r="AG774" t="str">
        <f t="shared" si="49"/>
        <v>ThO₂ (s)</v>
      </c>
      <c r="AH774" t="s">
        <v>2708</v>
      </c>
      <c r="AI774" t="s">
        <v>2709</v>
      </c>
      <c r="AJ774" t="s">
        <v>2709</v>
      </c>
      <c r="AL774" t="s">
        <v>2710</v>
      </c>
      <c r="AS774" t="s">
        <v>160</v>
      </c>
      <c r="AX774" s="6">
        <v>264.04000000000002</v>
      </c>
      <c r="AY774" s="6" t="s">
        <v>2711</v>
      </c>
      <c r="AZ774" s="6">
        <v>65.23</v>
      </c>
      <c r="BA774" s="6"/>
      <c r="BB774" s="6">
        <v>-1169.2</v>
      </c>
    </row>
    <row r="775" spans="32:55">
      <c r="AF775">
        <f t="shared" si="48"/>
        <v>0</v>
      </c>
      <c r="AG775" t="str">
        <f t="shared" si="49"/>
        <v>Sn (s)</v>
      </c>
      <c r="AH775" t="s">
        <v>2712</v>
      </c>
      <c r="AI775" t="s">
        <v>2712</v>
      </c>
      <c r="AJ775" t="s">
        <v>2712</v>
      </c>
      <c r="AL775" t="s">
        <v>2713</v>
      </c>
      <c r="AS775" t="s">
        <v>160</v>
      </c>
      <c r="AX775" s="6">
        <v>118.71</v>
      </c>
      <c r="AY775" s="6" t="s">
        <v>161</v>
      </c>
      <c r="AZ775" s="6">
        <v>51.18</v>
      </c>
      <c r="BA775" s="6"/>
      <c r="BB775" s="6">
        <v>0</v>
      </c>
    </row>
    <row r="776" spans="32:55">
      <c r="AF776">
        <f t="shared" si="48"/>
        <v>0</v>
      </c>
      <c r="AG776" t="str">
        <f t="shared" si="49"/>
        <v>Sn (s,grå)</v>
      </c>
      <c r="AH776" t="s">
        <v>2712</v>
      </c>
      <c r="AI776" t="s">
        <v>2712</v>
      </c>
      <c r="AJ776" t="s">
        <v>2712</v>
      </c>
      <c r="AL776" t="s">
        <v>2713</v>
      </c>
      <c r="AS776" t="s">
        <v>2714</v>
      </c>
      <c r="AX776" s="6">
        <v>118.71</v>
      </c>
      <c r="AY776" s="6" t="s">
        <v>2715</v>
      </c>
      <c r="AZ776" s="6">
        <v>44.1</v>
      </c>
      <c r="BA776" s="6"/>
      <c r="BB776" s="6">
        <v>0.13</v>
      </c>
    </row>
    <row r="777" spans="32:55">
      <c r="AF777">
        <f t="shared" si="48"/>
        <v>0</v>
      </c>
      <c r="AG777" t="str">
        <f t="shared" si="49"/>
        <v>Sn²⁺ (aq)</v>
      </c>
      <c r="AH777" t="s">
        <v>2716</v>
      </c>
      <c r="AI777" t="s">
        <v>2717</v>
      </c>
      <c r="AJ777" t="s">
        <v>2717</v>
      </c>
      <c r="AL777" t="s">
        <v>2718</v>
      </c>
      <c r="AS777" t="s">
        <v>48</v>
      </c>
      <c r="AX777" s="6">
        <v>118.71</v>
      </c>
      <c r="AY777" s="6" t="s">
        <v>2719</v>
      </c>
      <c r="AZ777" s="6">
        <v>-17.7</v>
      </c>
      <c r="BA777" s="6"/>
      <c r="BB777" s="6">
        <v>-27.24</v>
      </c>
    </row>
    <row r="778" spans="32:55">
      <c r="AF778">
        <f t="shared" si="48"/>
        <v>0</v>
      </c>
      <c r="AG778" t="str">
        <f t="shared" si="49"/>
        <v>Sn⁴⁺ (aq)</v>
      </c>
      <c r="AH778" t="s">
        <v>2720</v>
      </c>
      <c r="AI778" t="s">
        <v>2721</v>
      </c>
      <c r="AJ778" t="s">
        <v>2721</v>
      </c>
      <c r="AL778" t="s">
        <v>2722</v>
      </c>
      <c r="AS778" t="s">
        <v>48</v>
      </c>
      <c r="AX778" s="6">
        <v>118.71</v>
      </c>
      <c r="AY778" s="6" t="s">
        <v>2723</v>
      </c>
      <c r="AZ778" s="6">
        <v>-117.2</v>
      </c>
      <c r="BA778" s="6"/>
      <c r="BB778" s="6">
        <v>2.72</v>
      </c>
    </row>
    <row r="779" spans="32:55">
      <c r="AF779">
        <f t="shared" si="48"/>
        <v>0</v>
      </c>
      <c r="AG779" t="str">
        <f t="shared" si="49"/>
        <v>SnCl₂∙2H₂O (s)</v>
      </c>
      <c r="AH779" t="s">
        <v>2724</v>
      </c>
      <c r="AI779" t="s">
        <v>2725</v>
      </c>
      <c r="AJ779" t="s">
        <v>2726</v>
      </c>
      <c r="AL779" t="s">
        <v>2727</v>
      </c>
      <c r="AS779" t="s">
        <v>160</v>
      </c>
      <c r="AX779" s="6">
        <v>225.65</v>
      </c>
      <c r="AY779" s="6" t="s">
        <v>2728</v>
      </c>
      <c r="AZ779" s="6" t="s">
        <v>168</v>
      </c>
      <c r="BA779" s="6"/>
      <c r="BB779" s="6">
        <v>-787.7</v>
      </c>
    </row>
    <row r="780" spans="32:55">
      <c r="AF780">
        <f t="shared" si="48"/>
        <v>0</v>
      </c>
      <c r="AG780" t="str">
        <f t="shared" si="49"/>
        <v>SnCl₄ (l)</v>
      </c>
      <c r="AH780" t="s">
        <v>2729</v>
      </c>
      <c r="AI780" t="s">
        <v>2730</v>
      </c>
      <c r="AJ780" t="s">
        <v>2730</v>
      </c>
      <c r="AL780" t="s">
        <v>2731</v>
      </c>
      <c r="AS780" t="s">
        <v>239</v>
      </c>
      <c r="AX780" s="6">
        <v>260.52</v>
      </c>
      <c r="AY780" s="6" t="s">
        <v>2732</v>
      </c>
      <c r="AZ780" s="6">
        <v>258.60000000000002</v>
      </c>
      <c r="BA780" s="6"/>
      <c r="BB780" s="6">
        <v>-440.1</v>
      </c>
    </row>
    <row r="781" spans="32:55">
      <c r="AF781">
        <f t="shared" si="48"/>
        <v>0</v>
      </c>
      <c r="AG781" t="str">
        <f t="shared" si="49"/>
        <v>SnH₄ (g)</v>
      </c>
      <c r="AH781" t="s">
        <v>2733</v>
      </c>
      <c r="AI781" t="s">
        <v>2734</v>
      </c>
      <c r="AJ781" t="s">
        <v>2734</v>
      </c>
      <c r="AL781" t="s">
        <v>2735</v>
      </c>
      <c r="AS781" t="s">
        <v>47</v>
      </c>
      <c r="AX781" s="6">
        <v>122.74</v>
      </c>
      <c r="AY781" s="6" t="s">
        <v>2736</v>
      </c>
      <c r="AZ781" s="6">
        <v>227.6</v>
      </c>
      <c r="BA781" s="6"/>
      <c r="BB781" s="6">
        <v>188.3</v>
      </c>
    </row>
    <row r="782" spans="32:55">
      <c r="AF782">
        <f t="shared" si="48"/>
        <v>0</v>
      </c>
      <c r="AG782" t="str">
        <f t="shared" si="49"/>
        <v>Sn(OH)₂ (s)</v>
      </c>
      <c r="AH782" t="s">
        <v>2737</v>
      </c>
      <c r="AI782" t="s">
        <v>2738</v>
      </c>
      <c r="AJ782" t="s">
        <v>2739</v>
      </c>
      <c r="AL782" t="s">
        <v>2740</v>
      </c>
      <c r="AS782" t="s">
        <v>160</v>
      </c>
      <c r="AX782" s="6">
        <v>152.72999999999999</v>
      </c>
      <c r="AY782" s="6" t="s">
        <v>2741</v>
      </c>
      <c r="AZ782" s="6">
        <v>155</v>
      </c>
      <c r="BA782" s="6"/>
      <c r="BB782" s="6">
        <v>-491.6</v>
      </c>
    </row>
    <row r="783" spans="32:55">
      <c r="AF783">
        <f t="shared" si="48"/>
        <v>0</v>
      </c>
      <c r="AG783" t="str">
        <f t="shared" si="49"/>
        <v/>
      </c>
      <c r="AH783" t="s">
        <v>2742</v>
      </c>
      <c r="AI783" t="s">
        <v>2743</v>
      </c>
      <c r="AJ783" t="s">
        <v>2744</v>
      </c>
      <c r="AL783" t="s">
        <v>2745</v>
      </c>
      <c r="AS783" t="s">
        <v>220</v>
      </c>
      <c r="AX783" s="6">
        <v>603.01</v>
      </c>
      <c r="AY783" s="6" t="s">
        <v>168</v>
      </c>
      <c r="AZ783" s="6" t="s">
        <v>168</v>
      </c>
      <c r="BA783" s="6"/>
      <c r="BB783" s="6"/>
      <c r="BC783" s="6"/>
    </row>
    <row r="784" spans="32:55">
      <c r="AF784">
        <f t="shared" si="48"/>
        <v>0</v>
      </c>
      <c r="AG784" t="str">
        <f t="shared" si="49"/>
        <v>SnO (s)</v>
      </c>
      <c r="AH784" t="s">
        <v>2746</v>
      </c>
      <c r="AI784" t="s">
        <v>2746</v>
      </c>
      <c r="AJ784" t="s">
        <v>2746</v>
      </c>
      <c r="AL784" t="s">
        <v>2747</v>
      </c>
      <c r="AS784" t="s">
        <v>160</v>
      </c>
      <c r="AX784" s="6">
        <v>134.71</v>
      </c>
      <c r="AY784" s="6" t="s">
        <v>2748</v>
      </c>
      <c r="AZ784" s="6">
        <v>57.17</v>
      </c>
      <c r="BA784" s="6"/>
      <c r="BB784" s="6">
        <v>-257</v>
      </c>
    </row>
    <row r="785" spans="32:54">
      <c r="AF785">
        <f t="shared" si="48"/>
        <v>0</v>
      </c>
      <c r="AG785" t="str">
        <f t="shared" si="49"/>
        <v>SnO₂ (s)</v>
      </c>
      <c r="AH785" t="s">
        <v>2749</v>
      </c>
      <c r="AI785" t="s">
        <v>2750</v>
      </c>
      <c r="AJ785" t="s">
        <v>2750</v>
      </c>
      <c r="AL785" t="s">
        <v>2751</v>
      </c>
      <c r="AS785" t="s">
        <v>160</v>
      </c>
      <c r="AX785" s="6">
        <v>150.71</v>
      </c>
      <c r="AY785" s="6" t="s">
        <v>2752</v>
      </c>
      <c r="AZ785" s="6">
        <v>49.04</v>
      </c>
      <c r="BA785" s="6"/>
      <c r="BB785" s="6">
        <v>-519.9</v>
      </c>
    </row>
    <row r="786" spans="32:54">
      <c r="AF786">
        <f t="shared" si="48"/>
        <v>0</v>
      </c>
      <c r="AG786" t="str">
        <f t="shared" si="49"/>
        <v>SnSO₄ (s)</v>
      </c>
      <c r="AH786" t="s">
        <v>2753</v>
      </c>
      <c r="AI786" t="s">
        <v>2754</v>
      </c>
      <c r="AJ786" t="s">
        <v>2754</v>
      </c>
      <c r="AL786" t="s">
        <v>2755</v>
      </c>
      <c r="AS786" t="s">
        <v>160</v>
      </c>
      <c r="AX786" s="6">
        <v>214.77</v>
      </c>
      <c r="AY786" s="6" t="s">
        <v>2756</v>
      </c>
      <c r="AZ786" s="6">
        <v>138.57</v>
      </c>
      <c r="BA786" s="6"/>
      <c r="BB786" s="6">
        <v>-1055.8699999999999</v>
      </c>
    </row>
    <row r="787" spans="32:54">
      <c r="AF787">
        <f t="shared" si="48"/>
        <v>0</v>
      </c>
      <c r="AG787" t="str">
        <f t="shared" si="49"/>
        <v>SnS (s)</v>
      </c>
      <c r="AH787" t="s">
        <v>2757</v>
      </c>
      <c r="AI787" t="s">
        <v>2757</v>
      </c>
      <c r="AJ787" t="s">
        <v>2757</v>
      </c>
      <c r="AL787" t="s">
        <v>2758</v>
      </c>
      <c r="AS787" t="s">
        <v>160</v>
      </c>
      <c r="AX787" s="6">
        <v>150.75</v>
      </c>
      <c r="AY787" s="6" t="s">
        <v>1329</v>
      </c>
      <c r="AZ787" s="6">
        <v>77</v>
      </c>
      <c r="BA787" s="6"/>
      <c r="BB787" s="6">
        <v>-98.3</v>
      </c>
    </row>
    <row r="788" spans="32:54">
      <c r="AF788">
        <f t="shared" si="48"/>
        <v>0</v>
      </c>
      <c r="AG788" t="str">
        <f t="shared" si="49"/>
        <v>SnS₂ (s)</v>
      </c>
      <c r="AH788" t="s">
        <v>2759</v>
      </c>
      <c r="AI788" t="s">
        <v>2760</v>
      </c>
      <c r="AJ788" t="s">
        <v>2760</v>
      </c>
      <c r="AL788" t="s">
        <v>2761</v>
      </c>
      <c r="AS788" t="s">
        <v>160</v>
      </c>
      <c r="AX788" s="6">
        <v>182.81</v>
      </c>
      <c r="AY788" s="6" t="s">
        <v>2762</v>
      </c>
      <c r="AZ788" s="6">
        <v>87.4</v>
      </c>
      <c r="BA788" s="6"/>
      <c r="BB788" s="6">
        <v>-179.62</v>
      </c>
    </row>
    <row r="789" spans="32:54">
      <c r="AF789">
        <f t="shared" si="48"/>
        <v>0</v>
      </c>
      <c r="AG789" t="str">
        <f t="shared" si="49"/>
        <v>Ti (s)</v>
      </c>
      <c r="AH789" t="s">
        <v>2763</v>
      </c>
      <c r="AI789" t="s">
        <v>2763</v>
      </c>
      <c r="AJ789" t="s">
        <v>2763</v>
      </c>
      <c r="AL789" t="s">
        <v>2764</v>
      </c>
      <c r="AS789" t="s">
        <v>160</v>
      </c>
      <c r="AX789" s="6">
        <v>47.87</v>
      </c>
      <c r="AY789" s="6" t="s">
        <v>161</v>
      </c>
      <c r="AZ789" s="6">
        <v>30.72</v>
      </c>
      <c r="BA789" s="6"/>
      <c r="BB789" s="6">
        <v>0</v>
      </c>
    </row>
    <row r="790" spans="32:54">
      <c r="AF790">
        <f t="shared" si="48"/>
        <v>0</v>
      </c>
      <c r="AG790" t="str">
        <f t="shared" si="49"/>
        <v>TiC (s)</v>
      </c>
      <c r="AH790" t="s">
        <v>2765</v>
      </c>
      <c r="AI790" t="s">
        <v>2765</v>
      </c>
      <c r="AJ790" t="s">
        <v>2765</v>
      </c>
      <c r="AL790" t="s">
        <v>2766</v>
      </c>
      <c r="AS790" t="s">
        <v>160</v>
      </c>
      <c r="AX790" s="6">
        <v>59.88</v>
      </c>
      <c r="AY790" s="6" t="s">
        <v>2767</v>
      </c>
      <c r="AZ790" s="6">
        <v>24.3</v>
      </c>
      <c r="BA790" s="6"/>
      <c r="BB790" s="6">
        <v>-222</v>
      </c>
    </row>
    <row r="791" spans="32:54">
      <c r="AF791">
        <f t="shared" si="48"/>
        <v>0</v>
      </c>
      <c r="AG791" t="str">
        <f t="shared" si="49"/>
        <v>TiCl₂ (s)</v>
      </c>
      <c r="AH791" t="s">
        <v>2768</v>
      </c>
      <c r="AI791" t="s">
        <v>2769</v>
      </c>
      <c r="AJ791" t="s">
        <v>2769</v>
      </c>
      <c r="AL791" t="s">
        <v>2770</v>
      </c>
      <c r="AS791" t="s">
        <v>160</v>
      </c>
      <c r="AX791" s="6">
        <v>118.77</v>
      </c>
      <c r="AY791" s="6" t="s">
        <v>2771</v>
      </c>
      <c r="AZ791" s="6">
        <v>87.4</v>
      </c>
      <c r="BA791" s="6"/>
      <c r="BB791" s="6">
        <v>-464.4</v>
      </c>
    </row>
    <row r="792" spans="32:54">
      <c r="AF792">
        <f t="shared" si="48"/>
        <v>0</v>
      </c>
      <c r="AG792" t="str">
        <f t="shared" si="49"/>
        <v>TiCl₃ (s)</v>
      </c>
      <c r="AH792" t="s">
        <v>2772</v>
      </c>
      <c r="AI792" t="s">
        <v>2773</v>
      </c>
      <c r="AJ792" t="s">
        <v>2773</v>
      </c>
      <c r="AL792" t="s">
        <v>2774</v>
      </c>
      <c r="AS792" t="s">
        <v>160</v>
      </c>
      <c r="AX792" s="6">
        <v>154.22999999999999</v>
      </c>
      <c r="AY792" s="6" t="s">
        <v>2775</v>
      </c>
      <c r="AZ792" s="6">
        <v>139.69999999999999</v>
      </c>
      <c r="BA792" s="6"/>
      <c r="BB792" s="6">
        <v>-653.5</v>
      </c>
    </row>
    <row r="793" spans="32:54">
      <c r="AF793">
        <f t="shared" si="48"/>
        <v>0</v>
      </c>
      <c r="AG793" t="str">
        <f t="shared" si="49"/>
        <v>TiCl₄ (l)</v>
      </c>
      <c r="AH793" t="s">
        <v>2776</v>
      </c>
      <c r="AI793" t="s">
        <v>2777</v>
      </c>
      <c r="AJ793" t="s">
        <v>2777</v>
      </c>
      <c r="AL793" t="s">
        <v>2778</v>
      </c>
      <c r="AS793" t="s">
        <v>239</v>
      </c>
      <c r="AX793" s="6">
        <v>189.68</v>
      </c>
      <c r="AY793" s="6" t="s">
        <v>2779</v>
      </c>
      <c r="AZ793" s="6">
        <v>252.3</v>
      </c>
      <c r="BA793" s="6"/>
      <c r="BB793" s="6">
        <v>-737.2</v>
      </c>
    </row>
    <row r="794" spans="32:54">
      <c r="AF794">
        <f t="shared" si="48"/>
        <v>0</v>
      </c>
      <c r="AG794" t="str">
        <f t="shared" si="49"/>
        <v>TiO₂ (s)</v>
      </c>
      <c r="AH794" t="s">
        <v>2780</v>
      </c>
      <c r="AI794" t="s">
        <v>2781</v>
      </c>
      <c r="AJ794" t="s">
        <v>2781</v>
      </c>
      <c r="AL794" t="s">
        <v>2782</v>
      </c>
      <c r="AS794" t="s">
        <v>160</v>
      </c>
      <c r="AX794" s="6">
        <v>79.87</v>
      </c>
      <c r="AY794" s="6" t="s">
        <v>2783</v>
      </c>
      <c r="AZ794" s="6">
        <v>50.62</v>
      </c>
      <c r="BA794" s="6"/>
      <c r="BB794" s="6">
        <v>-888.4</v>
      </c>
    </row>
    <row r="795" spans="32:54">
      <c r="AF795">
        <f t="shared" si="48"/>
        <v>0</v>
      </c>
      <c r="AG795" t="str">
        <f t="shared" si="49"/>
        <v>U (s)</v>
      </c>
      <c r="AH795" t="s">
        <v>2784</v>
      </c>
      <c r="AI795" t="s">
        <v>2784</v>
      </c>
      <c r="AJ795" t="s">
        <v>2784</v>
      </c>
      <c r="AL795" t="s">
        <v>2785</v>
      </c>
      <c r="AS795" t="s">
        <v>160</v>
      </c>
      <c r="AX795" s="6">
        <v>238.03</v>
      </c>
      <c r="AY795" s="6" t="s">
        <v>161</v>
      </c>
      <c r="AZ795" s="6">
        <v>50.2</v>
      </c>
      <c r="BA795" s="6"/>
      <c r="BB795" s="6">
        <v>0</v>
      </c>
    </row>
    <row r="796" spans="32:54">
      <c r="AF796">
        <f t="shared" si="48"/>
        <v>0</v>
      </c>
      <c r="AG796" t="str">
        <f t="shared" si="49"/>
        <v>U³⁺ (aq)</v>
      </c>
      <c r="AH796" t="s">
        <v>2786</v>
      </c>
      <c r="AI796" t="s">
        <v>2787</v>
      </c>
      <c r="AJ796" t="s">
        <v>2787</v>
      </c>
      <c r="AL796" t="s">
        <v>2788</v>
      </c>
      <c r="AS796" t="s">
        <v>48</v>
      </c>
      <c r="AX796" s="6">
        <v>238.03</v>
      </c>
      <c r="AY796" s="6" t="s">
        <v>2789</v>
      </c>
      <c r="AZ796" s="6">
        <v>-188</v>
      </c>
      <c r="BA796" s="6"/>
      <c r="BB796" s="6">
        <v>-476.2</v>
      </c>
    </row>
    <row r="797" spans="32:54">
      <c r="AF797">
        <f t="shared" si="48"/>
        <v>0</v>
      </c>
      <c r="AG797" t="str">
        <f t="shared" si="49"/>
        <v>U⁴⁺ (aq)</v>
      </c>
      <c r="AH797" t="s">
        <v>2790</v>
      </c>
      <c r="AI797" t="s">
        <v>2791</v>
      </c>
      <c r="AJ797" t="s">
        <v>2791</v>
      </c>
      <c r="AL797" t="s">
        <v>2792</v>
      </c>
      <c r="AS797" t="s">
        <v>48</v>
      </c>
      <c r="AX797" s="6">
        <v>238.03</v>
      </c>
      <c r="AY797" s="6" t="s">
        <v>2793</v>
      </c>
      <c r="AZ797" s="6">
        <v>-410</v>
      </c>
      <c r="BA797" s="6"/>
      <c r="BB797" s="6">
        <v>-531.9</v>
      </c>
    </row>
    <row r="798" spans="32:54">
      <c r="AF798">
        <f t="shared" si="48"/>
        <v>0</v>
      </c>
      <c r="AG798" t="str">
        <f t="shared" si="49"/>
        <v>UO₂²⁺ (aq)</v>
      </c>
      <c r="AH798" t="s">
        <v>2794</v>
      </c>
      <c r="AI798" t="s">
        <v>2795</v>
      </c>
      <c r="AJ798" t="s">
        <v>2795</v>
      </c>
      <c r="AL798" t="s">
        <v>2796</v>
      </c>
      <c r="AS798" t="s">
        <v>48</v>
      </c>
      <c r="AX798" s="6">
        <v>260.02999999999997</v>
      </c>
      <c r="AY798" s="6" t="s">
        <v>2797</v>
      </c>
      <c r="AZ798" s="6">
        <v>-98.2</v>
      </c>
      <c r="BA798" s="6"/>
      <c r="BB798" s="6">
        <v>-952.7</v>
      </c>
    </row>
    <row r="799" spans="32:54">
      <c r="AF799">
        <f t="shared" si="48"/>
        <v>0</v>
      </c>
      <c r="AG799" t="str">
        <f t="shared" si="49"/>
        <v>U₃O₈ (s)</v>
      </c>
      <c r="AH799" t="s">
        <v>2798</v>
      </c>
      <c r="AI799" t="s">
        <v>2799</v>
      </c>
      <c r="AJ799" t="s">
        <v>2799</v>
      </c>
      <c r="AL799" t="s">
        <v>2800</v>
      </c>
      <c r="AS799" t="s">
        <v>160</v>
      </c>
      <c r="AX799" s="6">
        <v>842.08</v>
      </c>
      <c r="AY799" s="6" t="s">
        <v>2801</v>
      </c>
      <c r="AZ799" s="6">
        <v>282.55</v>
      </c>
      <c r="BA799" s="6"/>
      <c r="BB799" s="6">
        <v>-3369.6</v>
      </c>
    </row>
    <row r="800" spans="32:54">
      <c r="AF800">
        <f t="shared" si="48"/>
        <v>0</v>
      </c>
      <c r="AG800" t="str">
        <f t="shared" si="49"/>
        <v>UF₆ (s)</v>
      </c>
      <c r="AH800" t="s">
        <v>2802</v>
      </c>
      <c r="AI800" t="s">
        <v>2803</v>
      </c>
      <c r="AJ800" t="s">
        <v>2803</v>
      </c>
      <c r="AL800" t="s">
        <v>2804</v>
      </c>
      <c r="AS800" t="s">
        <v>160</v>
      </c>
      <c r="AX800" s="6">
        <v>352.02</v>
      </c>
      <c r="AY800" s="6" t="s">
        <v>2805</v>
      </c>
      <c r="AZ800" s="6">
        <v>227.6</v>
      </c>
      <c r="BA800" s="6"/>
      <c r="BB800" s="6">
        <v>-2068.6</v>
      </c>
    </row>
    <row r="801" spans="32:55">
      <c r="AF801">
        <f t="shared" si="48"/>
        <v>0</v>
      </c>
      <c r="AG801" t="str">
        <f t="shared" si="49"/>
        <v>UO₂ (s)</v>
      </c>
      <c r="AH801" t="s">
        <v>2806</v>
      </c>
      <c r="AI801" t="s">
        <v>2807</v>
      </c>
      <c r="AJ801" t="s">
        <v>2807</v>
      </c>
      <c r="AL801" t="s">
        <v>2808</v>
      </c>
      <c r="AS801" t="s">
        <v>160</v>
      </c>
      <c r="AX801" s="6">
        <v>270.02999999999997</v>
      </c>
      <c r="AY801" s="6" t="s">
        <v>2809</v>
      </c>
      <c r="AZ801" s="6">
        <v>77.03</v>
      </c>
      <c r="BA801" s="6"/>
      <c r="BB801" s="6">
        <v>-1031.8</v>
      </c>
    </row>
    <row r="802" spans="32:55">
      <c r="AF802">
        <f t="shared" si="48"/>
        <v>0</v>
      </c>
      <c r="AG802" t="str">
        <f t="shared" si="49"/>
        <v>UO₃ (s)</v>
      </c>
      <c r="AH802" t="s">
        <v>2810</v>
      </c>
      <c r="AI802" t="s">
        <v>2811</v>
      </c>
      <c r="AJ802" t="s">
        <v>2811</v>
      </c>
      <c r="AL802" t="s">
        <v>2812</v>
      </c>
      <c r="AS802" t="s">
        <v>160</v>
      </c>
      <c r="AX802" s="6">
        <v>286.02999999999997</v>
      </c>
      <c r="AY802" s="6" t="s">
        <v>2813</v>
      </c>
      <c r="AZ802" s="6">
        <v>96.11</v>
      </c>
      <c r="BA802" s="6"/>
      <c r="BB802" s="6">
        <v>-1145.8</v>
      </c>
    </row>
    <row r="803" spans="32:55">
      <c r="AF803">
        <f t="shared" si="48"/>
        <v>0</v>
      </c>
      <c r="AG803" t="str">
        <f t="shared" si="49"/>
        <v>UO₂(NO₃)₂∙6H₂O (s)</v>
      </c>
      <c r="AH803" t="s">
        <v>2814</v>
      </c>
      <c r="AI803" t="s">
        <v>2815</v>
      </c>
      <c r="AJ803" t="s">
        <v>2816</v>
      </c>
      <c r="AL803" t="s">
        <v>2817</v>
      </c>
      <c r="AS803" t="s">
        <v>160</v>
      </c>
      <c r="AX803" s="6">
        <v>502.13</v>
      </c>
      <c r="AY803" s="6" t="s">
        <v>2818</v>
      </c>
      <c r="AZ803" s="6">
        <v>505.6</v>
      </c>
      <c r="BA803" s="6"/>
      <c r="BB803" s="6">
        <v>-2584.8000000000002</v>
      </c>
    </row>
    <row r="804" spans="32:55">
      <c r="AF804">
        <f t="shared" si="48"/>
        <v>0</v>
      </c>
      <c r="AG804" t="str">
        <f t="shared" si="49"/>
        <v>UO₂(SO₄)∙3H₂O (s)</v>
      </c>
      <c r="AH804" t="s">
        <v>2819</v>
      </c>
      <c r="AI804" t="s">
        <v>2820</v>
      </c>
      <c r="AJ804" t="s">
        <v>2821</v>
      </c>
      <c r="AL804" t="s">
        <v>2822</v>
      </c>
      <c r="AS804" t="s">
        <v>160</v>
      </c>
      <c r="AX804" s="6">
        <v>420.14</v>
      </c>
      <c r="AY804" s="6" t="s">
        <v>2823</v>
      </c>
      <c r="AZ804" s="6">
        <v>263.60000000000002</v>
      </c>
      <c r="BA804" s="6"/>
      <c r="BB804" s="6">
        <v>-2451.6</v>
      </c>
    </row>
    <row r="805" spans="32:55">
      <c r="AF805">
        <f t="shared" si="48"/>
        <v>0</v>
      </c>
      <c r="AG805" t="str">
        <f t="shared" si="49"/>
        <v>V (s)</v>
      </c>
      <c r="AH805" t="s">
        <v>2824</v>
      </c>
      <c r="AI805" t="s">
        <v>2824</v>
      </c>
      <c r="AJ805" t="s">
        <v>2824</v>
      </c>
      <c r="AL805" t="s">
        <v>2825</v>
      </c>
      <c r="AS805" t="s">
        <v>160</v>
      </c>
      <c r="AX805" s="6">
        <v>50.94</v>
      </c>
      <c r="AY805" s="6" t="s">
        <v>161</v>
      </c>
      <c r="AZ805" s="6">
        <v>28.95</v>
      </c>
      <c r="BA805" s="6"/>
      <c r="BB805" s="6">
        <v>0</v>
      </c>
    </row>
    <row r="806" spans="32:55">
      <c r="AF806">
        <f t="shared" si="48"/>
        <v>0</v>
      </c>
      <c r="AG806" t="str">
        <f t="shared" si="49"/>
        <v>V₂O₃ (s)</v>
      </c>
      <c r="AH806" t="s">
        <v>2826</v>
      </c>
      <c r="AI806" t="s">
        <v>2827</v>
      </c>
      <c r="AJ806" t="s">
        <v>2827</v>
      </c>
      <c r="AL806" t="s">
        <v>2828</v>
      </c>
      <c r="AS806" t="s">
        <v>160</v>
      </c>
      <c r="AX806" s="6">
        <v>149.88</v>
      </c>
      <c r="AY806" s="6" t="s">
        <v>2829</v>
      </c>
      <c r="AZ806" s="6">
        <v>98.3</v>
      </c>
      <c r="BA806" s="6"/>
      <c r="BB806" s="6">
        <v>-1139.3</v>
      </c>
    </row>
    <row r="807" spans="32:55">
      <c r="AF807">
        <f t="shared" si="48"/>
        <v>0</v>
      </c>
      <c r="AG807" t="str">
        <f t="shared" si="49"/>
        <v>V₂O₅ (s)</v>
      </c>
      <c r="AH807" t="s">
        <v>2830</v>
      </c>
      <c r="AI807" t="s">
        <v>2831</v>
      </c>
      <c r="AJ807" t="s">
        <v>2831</v>
      </c>
      <c r="AL807" t="s">
        <v>2832</v>
      </c>
      <c r="AS807" t="s">
        <v>160</v>
      </c>
      <c r="AX807" s="6">
        <v>181.88</v>
      </c>
      <c r="AY807" s="6" t="s">
        <v>2833</v>
      </c>
      <c r="AZ807" s="6">
        <v>130.6</v>
      </c>
      <c r="BA807" s="6"/>
      <c r="BB807" s="6">
        <v>-1419.4</v>
      </c>
    </row>
    <row r="808" spans="32:55">
      <c r="AF808">
        <f t="shared" si="48"/>
        <v>0</v>
      </c>
      <c r="AG808" t="str">
        <f t="shared" si="49"/>
        <v>V₂(SO₄)₃ (s)</v>
      </c>
      <c r="AH808" t="s">
        <v>2834</v>
      </c>
      <c r="AI808" t="s">
        <v>2835</v>
      </c>
      <c r="AJ808" t="s">
        <v>2836</v>
      </c>
      <c r="AL808" t="s">
        <v>2837</v>
      </c>
      <c r="AS808" t="s">
        <v>160</v>
      </c>
      <c r="AX808" s="6">
        <v>390.07</v>
      </c>
      <c r="AY808" s="6" t="s">
        <v>168</v>
      </c>
      <c r="AZ808" s="6" t="s">
        <v>168</v>
      </c>
      <c r="BA808" s="6"/>
      <c r="BB808" s="6" t="s">
        <v>168</v>
      </c>
      <c r="BC808" s="6"/>
    </row>
    <row r="809" spans="32:55">
      <c r="AF809">
        <f t="shared" si="48"/>
        <v>0</v>
      </c>
      <c r="AG809" t="str">
        <f t="shared" si="49"/>
        <v>VOSO₄ (s)</v>
      </c>
      <c r="AH809" t="s">
        <v>2838</v>
      </c>
      <c r="AI809" t="s">
        <v>2839</v>
      </c>
      <c r="AJ809" t="s">
        <v>2839</v>
      </c>
      <c r="AL809" t="s">
        <v>2840</v>
      </c>
      <c r="AS809" t="s">
        <v>160</v>
      </c>
      <c r="AX809" s="6">
        <v>163</v>
      </c>
      <c r="AY809" s="6" t="s">
        <v>2841</v>
      </c>
      <c r="AZ809" s="6">
        <v>109</v>
      </c>
      <c r="BA809" s="6"/>
      <c r="BB809" s="6">
        <v>-1170</v>
      </c>
    </row>
    <row r="810" spans="32:55">
      <c r="AF810">
        <f t="shared" si="48"/>
        <v>0</v>
      </c>
      <c r="AG810" t="str">
        <f t="shared" si="49"/>
        <v/>
      </c>
      <c r="AH810" t="s">
        <v>2842</v>
      </c>
      <c r="AI810" t="s">
        <v>2843</v>
      </c>
      <c r="AJ810" t="s">
        <v>2844</v>
      </c>
      <c r="AL810" t="s">
        <v>2845</v>
      </c>
      <c r="AS810" t="s">
        <v>220</v>
      </c>
      <c r="AX810" s="6">
        <v>219</v>
      </c>
      <c r="AY810" s="6" t="s">
        <v>168</v>
      </c>
      <c r="AZ810" s="6" t="s">
        <v>168</v>
      </c>
      <c r="BA810" s="6"/>
      <c r="BB810" s="6"/>
      <c r="BC810" s="6"/>
    </row>
    <row r="811" spans="32:55">
      <c r="AF811">
        <f t="shared" si="48"/>
        <v>0</v>
      </c>
      <c r="AG811" t="str">
        <f t="shared" si="49"/>
        <v>W (s)</v>
      </c>
      <c r="AH811" t="s">
        <v>2846</v>
      </c>
      <c r="AI811" t="s">
        <v>2846</v>
      </c>
      <c r="AJ811" t="s">
        <v>2846</v>
      </c>
      <c r="AL811" t="s">
        <v>2847</v>
      </c>
      <c r="AS811" t="s">
        <v>160</v>
      </c>
      <c r="AX811" s="6">
        <v>183.84</v>
      </c>
      <c r="AY811" s="6" t="s">
        <v>161</v>
      </c>
      <c r="AZ811" s="6">
        <v>32.6</v>
      </c>
      <c r="BA811" s="6"/>
      <c r="BB811" s="6">
        <v>0</v>
      </c>
    </row>
    <row r="812" spans="32:55">
      <c r="AF812">
        <f t="shared" si="48"/>
        <v>0</v>
      </c>
      <c r="AG812" t="str">
        <f t="shared" si="49"/>
        <v>WC (s)</v>
      </c>
      <c r="AH812" t="s">
        <v>2848</v>
      </c>
      <c r="AI812" t="s">
        <v>2848</v>
      </c>
      <c r="AJ812" t="s">
        <v>2848</v>
      </c>
      <c r="AL812" t="s">
        <v>2849</v>
      </c>
      <c r="AS812" t="s">
        <v>160</v>
      </c>
      <c r="AX812" s="6">
        <v>195.85</v>
      </c>
      <c r="AY812" s="6" t="s">
        <v>2850</v>
      </c>
      <c r="AZ812" s="6">
        <v>34</v>
      </c>
      <c r="BA812" s="6"/>
      <c r="BB812" s="6">
        <v>-39.5</v>
      </c>
    </row>
    <row r="813" spans="32:55">
      <c r="AF813">
        <f t="shared" si="48"/>
        <v>0</v>
      </c>
      <c r="AG813" t="str">
        <f t="shared" si="49"/>
        <v>WO₃ (s)</v>
      </c>
      <c r="AH813" t="s">
        <v>2851</v>
      </c>
      <c r="AI813" t="s">
        <v>2852</v>
      </c>
      <c r="AJ813" t="s">
        <v>2852</v>
      </c>
      <c r="AL813" t="s">
        <v>2853</v>
      </c>
      <c r="AS813" t="s">
        <v>160</v>
      </c>
      <c r="AX813" s="6">
        <v>231.84</v>
      </c>
      <c r="AY813" s="6" t="s">
        <v>2854</v>
      </c>
      <c r="AZ813" s="6">
        <v>75.900000000000006</v>
      </c>
      <c r="BA813" s="6"/>
      <c r="BB813" s="6">
        <v>-764</v>
      </c>
    </row>
    <row r="814" spans="32:55">
      <c r="AF814">
        <f t="shared" si="48"/>
        <v>0</v>
      </c>
      <c r="AG814" t="str">
        <f t="shared" si="49"/>
        <v>WF₆ (g)</v>
      </c>
      <c r="AH814" t="s">
        <v>2855</v>
      </c>
      <c r="AI814" t="s">
        <v>2856</v>
      </c>
      <c r="AJ814" t="s">
        <v>2856</v>
      </c>
      <c r="AL814" t="s">
        <v>2857</v>
      </c>
      <c r="AS814" t="s">
        <v>47</v>
      </c>
      <c r="AX814" s="6">
        <v>297.83999999999997</v>
      </c>
      <c r="AY814" s="6" t="s">
        <v>2858</v>
      </c>
      <c r="AZ814" s="6">
        <v>354</v>
      </c>
      <c r="BA814" s="6"/>
      <c r="BB814" s="6">
        <v>-1635.9</v>
      </c>
    </row>
    <row r="815" spans="32:55">
      <c r="AF815">
        <f t="shared" si="48"/>
        <v>0</v>
      </c>
      <c r="AG815" t="str">
        <f t="shared" si="49"/>
        <v>Xe (g)</v>
      </c>
      <c r="AH815" t="s">
        <v>2859</v>
      </c>
      <c r="AI815" t="s">
        <v>2859</v>
      </c>
      <c r="AJ815" t="s">
        <v>2859</v>
      </c>
      <c r="AL815" t="s">
        <v>2860</v>
      </c>
      <c r="AS815" t="s">
        <v>47</v>
      </c>
      <c r="AX815" s="6">
        <v>131.29</v>
      </c>
      <c r="AY815" s="6" t="s">
        <v>161</v>
      </c>
      <c r="AZ815" s="6">
        <v>169.685</v>
      </c>
      <c r="BA815" s="6"/>
      <c r="BB815" s="6">
        <v>0</v>
      </c>
    </row>
    <row r="816" spans="32:55">
      <c r="AF816">
        <f t="shared" si="48"/>
        <v>0</v>
      </c>
      <c r="AG816" t="str">
        <f t="shared" si="49"/>
        <v>XeO₃ (s)</v>
      </c>
      <c r="AH816" t="s">
        <v>2861</v>
      </c>
      <c r="AI816" t="s">
        <v>2862</v>
      </c>
      <c r="AJ816" t="s">
        <v>2862</v>
      </c>
      <c r="AL816" t="s">
        <v>2863</v>
      </c>
      <c r="AS816" t="s">
        <v>160</v>
      </c>
      <c r="AX816" s="6">
        <v>179.29</v>
      </c>
      <c r="AY816" s="6" t="s">
        <v>2864</v>
      </c>
      <c r="AZ816" s="6">
        <v>288.3</v>
      </c>
      <c r="BA816" s="6"/>
      <c r="BB816" s="6" t="s">
        <v>168</v>
      </c>
      <c r="BC816" s="6"/>
    </row>
    <row r="817" spans="32:55">
      <c r="AF817">
        <f t="shared" si="48"/>
        <v>0</v>
      </c>
      <c r="AG817" t="str">
        <f t="shared" si="49"/>
        <v>XeO₄ (g)</v>
      </c>
      <c r="AH817" t="s">
        <v>2865</v>
      </c>
      <c r="AI817" t="s">
        <v>2866</v>
      </c>
      <c r="AJ817" t="s">
        <v>2866</v>
      </c>
      <c r="AL817" t="s">
        <v>2867</v>
      </c>
      <c r="AS817" t="s">
        <v>47</v>
      </c>
      <c r="AX817" s="6">
        <v>195.29</v>
      </c>
      <c r="AY817" s="6" t="s">
        <v>2868</v>
      </c>
      <c r="AZ817" s="6">
        <v>276.25</v>
      </c>
      <c r="BA817" s="6"/>
      <c r="BB817" s="6" t="s">
        <v>168</v>
      </c>
      <c r="BC817" s="6"/>
    </row>
    <row r="818" spans="32:55">
      <c r="AF818">
        <f t="shared" si="48"/>
        <v>0</v>
      </c>
      <c r="AG818" t="str">
        <f t="shared" si="49"/>
        <v>XeF₂ (s)</v>
      </c>
      <c r="AH818" t="s">
        <v>2869</v>
      </c>
      <c r="AI818" t="s">
        <v>2870</v>
      </c>
      <c r="AJ818" t="s">
        <v>2870</v>
      </c>
      <c r="AL818" t="s">
        <v>2871</v>
      </c>
      <c r="AS818" t="s">
        <v>160</v>
      </c>
      <c r="AX818" s="6">
        <v>169.29</v>
      </c>
      <c r="AY818" s="6" t="s">
        <v>2872</v>
      </c>
      <c r="AZ818" s="6">
        <v>115.2</v>
      </c>
      <c r="BA818" s="6"/>
      <c r="BB818" s="6">
        <v>-86.1</v>
      </c>
    </row>
    <row r="819" spans="32:55">
      <c r="AF819">
        <f t="shared" si="48"/>
        <v>0</v>
      </c>
      <c r="AG819" t="str">
        <f t="shared" si="49"/>
        <v>XeF₄ (s)</v>
      </c>
      <c r="AH819" t="s">
        <v>2873</v>
      </c>
      <c r="AI819" t="s">
        <v>2874</v>
      </c>
      <c r="AJ819" t="s">
        <v>2874</v>
      </c>
      <c r="AL819" t="s">
        <v>2875</v>
      </c>
      <c r="AS819" t="s">
        <v>160</v>
      </c>
      <c r="AX819" s="6">
        <v>207.28</v>
      </c>
      <c r="AY819" s="6" t="s">
        <v>2876</v>
      </c>
      <c r="AZ819" s="6">
        <v>167</v>
      </c>
      <c r="BA819" s="6"/>
      <c r="BB819" s="6">
        <v>-145.5</v>
      </c>
    </row>
    <row r="820" spans="32:55">
      <c r="AF820">
        <f t="shared" si="48"/>
        <v>0</v>
      </c>
      <c r="AG820" t="str">
        <f t="shared" si="49"/>
        <v>XeF₆ (s)</v>
      </c>
      <c r="AH820" t="s">
        <v>2877</v>
      </c>
      <c r="AI820" t="s">
        <v>2878</v>
      </c>
      <c r="AJ820" t="s">
        <v>2878</v>
      </c>
      <c r="AL820" t="s">
        <v>2879</v>
      </c>
      <c r="AS820" t="s">
        <v>160</v>
      </c>
      <c r="AX820" s="6">
        <v>245.28</v>
      </c>
      <c r="AY820" s="6" t="s">
        <v>2880</v>
      </c>
      <c r="AZ820" s="6">
        <v>210.4</v>
      </c>
      <c r="BA820" s="6"/>
      <c r="BB820" s="6">
        <v>-169</v>
      </c>
    </row>
    <row r="821" spans="32:55">
      <c r="AF821">
        <f t="shared" si="48"/>
        <v>0</v>
      </c>
      <c r="AG821" t="str">
        <f t="shared" si="49"/>
        <v>Zn (s)</v>
      </c>
      <c r="AH821" t="s">
        <v>2881</v>
      </c>
      <c r="AI821" t="s">
        <v>2881</v>
      </c>
      <c r="AJ821" t="s">
        <v>2881</v>
      </c>
      <c r="AL821" t="s">
        <v>2882</v>
      </c>
      <c r="AS821" t="s">
        <v>160</v>
      </c>
      <c r="AX821" s="6">
        <v>65.39</v>
      </c>
      <c r="AY821" s="6" t="s">
        <v>161</v>
      </c>
      <c r="AZ821" s="6">
        <v>41.63</v>
      </c>
      <c r="BA821" s="6"/>
      <c r="BB821" s="6">
        <v>0</v>
      </c>
    </row>
    <row r="822" spans="32:55">
      <c r="AF822">
        <f t="shared" si="48"/>
        <v>0</v>
      </c>
      <c r="AG822" t="str">
        <f t="shared" si="49"/>
        <v>Zn²⁺ (aq)</v>
      </c>
      <c r="AH822" t="s">
        <v>2883</v>
      </c>
      <c r="AI822" t="s">
        <v>2884</v>
      </c>
      <c r="AJ822" t="s">
        <v>2884</v>
      </c>
      <c r="AK822" t="s">
        <v>2885</v>
      </c>
      <c r="AL822" t="s">
        <v>2886</v>
      </c>
      <c r="AS822" t="s">
        <v>48</v>
      </c>
      <c r="AX822" s="6">
        <v>65.39</v>
      </c>
      <c r="AY822" s="6" t="s">
        <v>2887</v>
      </c>
      <c r="AZ822" s="6">
        <v>109.8</v>
      </c>
      <c r="BA822" s="6"/>
      <c r="BB822" s="6">
        <v>-147.16</v>
      </c>
    </row>
    <row r="823" spans="32:55">
      <c r="AF823">
        <f t="shared" si="48"/>
        <v>0</v>
      </c>
      <c r="AG823" t="str">
        <f t="shared" si="49"/>
        <v>ZnBr₂ (s)</v>
      </c>
      <c r="AH823" t="s">
        <v>2888</v>
      </c>
      <c r="AI823" t="s">
        <v>2889</v>
      </c>
      <c r="AJ823" t="s">
        <v>2889</v>
      </c>
      <c r="AK823" t="s">
        <v>2890</v>
      </c>
      <c r="AL823" t="s">
        <v>2891</v>
      </c>
      <c r="AS823" t="s">
        <v>160</v>
      </c>
      <c r="AX823" s="6">
        <v>225.2</v>
      </c>
      <c r="AY823" s="6" t="s">
        <v>2892</v>
      </c>
      <c r="AZ823" s="6">
        <v>139</v>
      </c>
      <c r="BA823" s="6"/>
      <c r="BB823" s="6">
        <v>-312.10000000000002</v>
      </c>
    </row>
    <row r="824" spans="32:55">
      <c r="AF824">
        <f t="shared" si="48"/>
        <v>0</v>
      </c>
      <c r="AG824" t="str">
        <f t="shared" si="49"/>
        <v>ZnCO₃ (s)</v>
      </c>
      <c r="AH824" t="s">
        <v>2893</v>
      </c>
      <c r="AI824" t="s">
        <v>2894</v>
      </c>
      <c r="AJ824" t="s">
        <v>2894</v>
      </c>
      <c r="AK824" t="s">
        <v>2895</v>
      </c>
      <c r="AL824" t="s">
        <v>2896</v>
      </c>
      <c r="AS824" t="s">
        <v>160</v>
      </c>
      <c r="AX824" s="6">
        <v>125.4</v>
      </c>
      <c r="AY824" s="6" t="s">
        <v>2897</v>
      </c>
      <c r="AZ824" s="6">
        <v>82.4</v>
      </c>
      <c r="BA824" s="6"/>
      <c r="BB824" s="6">
        <v>-731.57</v>
      </c>
    </row>
    <row r="825" spans="32:55">
      <c r="AF825">
        <f t="shared" si="48"/>
        <v>0</v>
      </c>
      <c r="AG825" t="str">
        <f t="shared" si="49"/>
        <v>ZnCl₂ (s)</v>
      </c>
      <c r="AH825" t="s">
        <v>2898</v>
      </c>
      <c r="AI825" t="s">
        <v>2899</v>
      </c>
      <c r="AJ825" t="s">
        <v>2899</v>
      </c>
      <c r="AK825" t="s">
        <v>2900</v>
      </c>
      <c r="AL825" t="s">
        <v>2901</v>
      </c>
      <c r="AS825" t="s">
        <v>160</v>
      </c>
      <c r="AX825" s="6">
        <v>136.29</v>
      </c>
      <c r="AY825" s="6" t="s">
        <v>2902</v>
      </c>
      <c r="AZ825" s="6">
        <v>111.5</v>
      </c>
      <c r="BA825" s="6"/>
      <c r="BB825" s="6">
        <v>-369.43</v>
      </c>
    </row>
    <row r="826" spans="32:55">
      <c r="AF826">
        <f t="shared" si="48"/>
        <v>0</v>
      </c>
      <c r="AG826" t="str">
        <f t="shared" si="49"/>
        <v>Zn(OH)₂ (s)</v>
      </c>
      <c r="AH826" t="s">
        <v>2903</v>
      </c>
      <c r="AI826" t="s">
        <v>2904</v>
      </c>
      <c r="AJ826" t="s">
        <v>2905</v>
      </c>
      <c r="AK826" t="s">
        <v>2906</v>
      </c>
      <c r="AL826" t="s">
        <v>2907</v>
      </c>
      <c r="AS826" t="s">
        <v>160</v>
      </c>
      <c r="AX826" s="6">
        <v>99.41</v>
      </c>
      <c r="AY826" s="6" t="s">
        <v>2908</v>
      </c>
      <c r="AZ826" s="6">
        <v>81.599999999999994</v>
      </c>
      <c r="BA826" s="6"/>
      <c r="BB826" s="6">
        <v>-555.13</v>
      </c>
    </row>
    <row r="827" spans="32:55">
      <c r="AF827">
        <f t="shared" si="48"/>
        <v>0</v>
      </c>
      <c r="AG827" t="str">
        <f t="shared" si="49"/>
        <v>ZnI₂ (s)</v>
      </c>
      <c r="AH827" t="s">
        <v>2909</v>
      </c>
      <c r="AI827" t="s">
        <v>2910</v>
      </c>
      <c r="AJ827" t="s">
        <v>2910</v>
      </c>
      <c r="AK827" t="s">
        <v>2911</v>
      </c>
      <c r="AL827" t="s">
        <v>2912</v>
      </c>
      <c r="AS827" t="s">
        <v>160</v>
      </c>
      <c r="AX827" s="6">
        <v>319.2</v>
      </c>
      <c r="AY827" s="6" t="s">
        <v>2913</v>
      </c>
      <c r="AZ827" s="6">
        <v>161</v>
      </c>
      <c r="BA827" s="6"/>
      <c r="BB827" s="6">
        <v>209</v>
      </c>
    </row>
    <row r="828" spans="32:55">
      <c r="AF828">
        <f t="shared" si="48"/>
        <v>0</v>
      </c>
      <c r="AG828" t="str">
        <f t="shared" si="49"/>
        <v>Zn(NO₃)₂∙6H₂O (s)</v>
      </c>
      <c r="AH828" t="s">
        <v>2914</v>
      </c>
      <c r="AI828" t="s">
        <v>2915</v>
      </c>
      <c r="AJ828" t="s">
        <v>2916</v>
      </c>
      <c r="AK828" t="s">
        <v>2917</v>
      </c>
      <c r="AL828" t="s">
        <v>2918</v>
      </c>
      <c r="AS828" t="s">
        <v>160</v>
      </c>
      <c r="AX828" s="6">
        <v>297.49</v>
      </c>
      <c r="AY828" s="6" t="s">
        <v>2919</v>
      </c>
      <c r="AZ828" s="6">
        <v>456.9</v>
      </c>
      <c r="BA828" s="6"/>
      <c r="BB828" s="6">
        <v>-1772.7</v>
      </c>
    </row>
    <row r="829" spans="32:55">
      <c r="AF829">
        <f t="shared" si="48"/>
        <v>0</v>
      </c>
      <c r="AG829" t="str">
        <f t="shared" si="49"/>
        <v>ZnO (s)</v>
      </c>
      <c r="AH829" t="s">
        <v>2920</v>
      </c>
      <c r="AI829" t="s">
        <v>2920</v>
      </c>
      <c r="AJ829" t="s">
        <v>2920</v>
      </c>
      <c r="AK829" t="s">
        <v>2921</v>
      </c>
      <c r="AL829" t="s">
        <v>2922</v>
      </c>
      <c r="AS829" t="s">
        <v>160</v>
      </c>
      <c r="AX829" s="6">
        <v>81.39</v>
      </c>
      <c r="AY829" s="6" t="s">
        <v>2923</v>
      </c>
      <c r="AZ829" s="6">
        <v>43.65</v>
      </c>
      <c r="BA829" s="6"/>
      <c r="BB829" s="6">
        <v>-320.5</v>
      </c>
    </row>
    <row r="830" spans="32:55">
      <c r="AF830">
        <f t="shared" si="48"/>
        <v>0</v>
      </c>
      <c r="AG830" t="str">
        <f t="shared" si="49"/>
        <v>ZnSO₄ (s)</v>
      </c>
      <c r="AH830" t="s">
        <v>2924</v>
      </c>
      <c r="AI830" t="s">
        <v>2925</v>
      </c>
      <c r="AJ830" t="s">
        <v>2925</v>
      </c>
      <c r="AK830" t="s">
        <v>2926</v>
      </c>
      <c r="AL830" t="s">
        <v>2927</v>
      </c>
      <c r="AS830" t="s">
        <v>160</v>
      </c>
      <c r="AX830" s="6">
        <v>161.44999999999999</v>
      </c>
      <c r="AY830" s="6" t="s">
        <v>2928</v>
      </c>
      <c r="AZ830" s="6">
        <v>111</v>
      </c>
      <c r="BA830" s="6"/>
      <c r="BB830" s="6">
        <v>-871.5</v>
      </c>
    </row>
    <row r="831" spans="32:55">
      <c r="AF831">
        <f t="shared" si="48"/>
        <v>0</v>
      </c>
      <c r="AG831" t="str">
        <f t="shared" si="49"/>
        <v>ZnSO₄∙7H₂O (s)</v>
      </c>
      <c r="AH831" t="s">
        <v>2929</v>
      </c>
      <c r="AI831" t="s">
        <v>2930</v>
      </c>
      <c r="AJ831" t="s">
        <v>2931</v>
      </c>
      <c r="AK831" t="s">
        <v>2932</v>
      </c>
      <c r="AL831" t="s">
        <v>2933</v>
      </c>
      <c r="AS831" t="s">
        <v>160</v>
      </c>
      <c r="AX831" s="6">
        <v>287.56</v>
      </c>
      <c r="AY831" s="6" t="s">
        <v>2934</v>
      </c>
      <c r="AZ831" s="6">
        <v>389</v>
      </c>
      <c r="BA831" s="6"/>
      <c r="BB831" s="6">
        <v>-2562.6999999999998</v>
      </c>
    </row>
    <row r="832" spans="32:55">
      <c r="AF832">
        <f t="shared" si="48"/>
        <v>0</v>
      </c>
      <c r="AG832" t="str">
        <f t="shared" si="49"/>
        <v>ZnS (s)</v>
      </c>
      <c r="AH832" t="s">
        <v>2935</v>
      </c>
      <c r="AI832" t="s">
        <v>2935</v>
      </c>
      <c r="AJ832" t="s">
        <v>2935</v>
      </c>
      <c r="AK832" t="s">
        <v>2936</v>
      </c>
      <c r="AL832" t="s">
        <v>2937</v>
      </c>
      <c r="AS832" t="s">
        <v>160</v>
      </c>
      <c r="AX832" s="6">
        <v>97.46</v>
      </c>
      <c r="AY832" s="6" t="s">
        <v>2938</v>
      </c>
      <c r="AZ832" s="6">
        <v>57.5</v>
      </c>
      <c r="BA832" s="6"/>
      <c r="BB832" s="6">
        <v>-181</v>
      </c>
    </row>
    <row r="833" spans="32:55">
      <c r="AF833">
        <f t="shared" si="48"/>
        <v>0</v>
      </c>
      <c r="AG833" t="str">
        <f t="shared" si="49"/>
        <v>Zr (s)</v>
      </c>
      <c r="AH833" t="s">
        <v>2939</v>
      </c>
      <c r="AI833" t="s">
        <v>2939</v>
      </c>
      <c r="AJ833" t="s">
        <v>2939</v>
      </c>
      <c r="AL833" t="s">
        <v>2940</v>
      </c>
      <c r="AS833" t="s">
        <v>160</v>
      </c>
      <c r="AX833" s="6">
        <v>91.22</v>
      </c>
      <c r="AY833" s="6" t="s">
        <v>161</v>
      </c>
      <c r="AZ833" s="6">
        <v>39</v>
      </c>
      <c r="BA833" s="6"/>
      <c r="BB833" s="6">
        <v>0</v>
      </c>
    </row>
    <row r="834" spans="32:55">
      <c r="AF834">
        <f t="shared" si="48"/>
        <v>0</v>
      </c>
      <c r="AG834" t="str">
        <f t="shared" si="49"/>
        <v>ZrCl₄ (s)</v>
      </c>
      <c r="AH834" t="s">
        <v>2941</v>
      </c>
      <c r="AI834" t="s">
        <v>2942</v>
      </c>
      <c r="AJ834" t="s">
        <v>2942</v>
      </c>
      <c r="AL834" t="s">
        <v>2943</v>
      </c>
      <c r="AS834" t="s">
        <v>160</v>
      </c>
      <c r="AX834" s="6">
        <v>233.04</v>
      </c>
      <c r="AY834" s="6" t="s">
        <v>2944</v>
      </c>
      <c r="AZ834" s="6">
        <v>181</v>
      </c>
      <c r="BA834" s="6"/>
      <c r="BB834" s="6">
        <v>-889</v>
      </c>
    </row>
    <row r="835" spans="32:55">
      <c r="AF835">
        <f t="shared" ref="AF835:AF898" si="50">IF(OR(AG835="",COUNTIF(AG:AG, AG835) = 1),0, "1")</f>
        <v>0</v>
      </c>
      <c r="AG835" t="str">
        <f t="shared" ref="AG835:AG898" si="51">IF(AS835 &lt;&gt; "",AH835&amp;" ("&amp;AS835 &amp;")","")</f>
        <v/>
      </c>
      <c r="AH835" t="s">
        <v>2945</v>
      </c>
      <c r="AI835" t="s">
        <v>2946</v>
      </c>
      <c r="AJ835" t="s">
        <v>2947</v>
      </c>
      <c r="AL835" t="s">
        <v>2948</v>
      </c>
      <c r="AS835" t="s">
        <v>220</v>
      </c>
      <c r="AX835" s="6">
        <v>429.32</v>
      </c>
      <c r="AY835" s="6" t="s">
        <v>168</v>
      </c>
      <c r="AZ835" s="6" t="s">
        <v>168</v>
      </c>
      <c r="BA835" s="6"/>
      <c r="BB835" s="6" t="s">
        <v>168</v>
      </c>
      <c r="BC835" s="6"/>
    </row>
    <row r="836" spans="32:55">
      <c r="AF836">
        <f t="shared" si="50"/>
        <v>0</v>
      </c>
      <c r="AG836" t="str">
        <f t="shared" si="51"/>
        <v>ZrO₂ (s)</v>
      </c>
      <c r="AH836" t="s">
        <v>2949</v>
      </c>
      <c r="AI836" t="s">
        <v>2950</v>
      </c>
      <c r="AJ836" t="s">
        <v>2950</v>
      </c>
      <c r="AL836" t="s">
        <v>2951</v>
      </c>
      <c r="AS836" t="s">
        <v>160</v>
      </c>
      <c r="AX836" s="6">
        <v>123.22</v>
      </c>
      <c r="AY836" s="6" t="s">
        <v>2952</v>
      </c>
      <c r="AZ836" s="6">
        <v>50.4</v>
      </c>
      <c r="BA836" s="6"/>
      <c r="BB836" s="6">
        <v>-1039.7</v>
      </c>
    </row>
    <row r="837" spans="32:55">
      <c r="AF837">
        <f t="shared" si="50"/>
        <v>0</v>
      </c>
      <c r="AG837" t="str">
        <f t="shared" si="51"/>
        <v/>
      </c>
      <c r="AH837" t="s">
        <v>2953</v>
      </c>
      <c r="AI837" t="s">
        <v>2954</v>
      </c>
      <c r="AJ837" t="s">
        <v>2955</v>
      </c>
      <c r="AL837" t="s">
        <v>2956</v>
      </c>
      <c r="AX837" s="6">
        <v>322.25</v>
      </c>
      <c r="AY837" s="6" t="s">
        <v>168</v>
      </c>
      <c r="AZ837" s="6" t="s">
        <v>168</v>
      </c>
      <c r="BA837" s="6"/>
      <c r="BB837" s="6"/>
      <c r="BC837" s="6"/>
    </row>
    <row r="838" spans="32:55">
      <c r="AF838">
        <f t="shared" si="50"/>
        <v>0</v>
      </c>
      <c r="AG838" t="str">
        <f t="shared" si="51"/>
        <v>CH₄ (g)</v>
      </c>
      <c r="AH838" t="s">
        <v>2957</v>
      </c>
      <c r="AI838" t="s">
        <v>2958</v>
      </c>
      <c r="AJ838" t="s">
        <v>2958</v>
      </c>
      <c r="AL838" t="s">
        <v>2959</v>
      </c>
      <c r="AS838" t="s">
        <v>47</v>
      </c>
      <c r="AX838" s="6">
        <v>16.04</v>
      </c>
      <c r="AY838" s="6">
        <v>-74.599999999999994</v>
      </c>
      <c r="AZ838" s="6">
        <v>186.3</v>
      </c>
      <c r="BA838" s="6"/>
      <c r="BB838" s="6">
        <v>-50.5</v>
      </c>
      <c r="BC838" s="6"/>
    </row>
    <row r="839" spans="32:55">
      <c r="AF839">
        <f t="shared" si="50"/>
        <v>0</v>
      </c>
      <c r="AG839" t="str">
        <f t="shared" si="51"/>
        <v>C₂H₆ (g)</v>
      </c>
      <c r="AH839" t="s">
        <v>2960</v>
      </c>
      <c r="AI839" t="s">
        <v>2961</v>
      </c>
      <c r="AJ839" t="s">
        <v>2961</v>
      </c>
      <c r="AL839" t="s">
        <v>2962</v>
      </c>
      <c r="AS839" t="s">
        <v>47</v>
      </c>
      <c r="AX839" s="6">
        <v>30.07</v>
      </c>
      <c r="AY839" s="6">
        <v>-84</v>
      </c>
      <c r="AZ839" s="6">
        <v>229.2</v>
      </c>
      <c r="BA839" s="6"/>
      <c r="BB839" s="6">
        <v>-32</v>
      </c>
      <c r="BC839" s="6"/>
    </row>
    <row r="840" spans="32:55">
      <c r="AF840">
        <f t="shared" si="50"/>
        <v>0</v>
      </c>
      <c r="AG840" t="str">
        <f t="shared" si="51"/>
        <v>C₃H₈ (g)</v>
      </c>
      <c r="AH840" t="s">
        <v>2963</v>
      </c>
      <c r="AI840" t="s">
        <v>2964</v>
      </c>
      <c r="AJ840" t="s">
        <v>2964</v>
      </c>
      <c r="AL840" t="s">
        <v>2965</v>
      </c>
      <c r="AS840" t="s">
        <v>47</v>
      </c>
      <c r="AX840" s="6">
        <v>44.11</v>
      </c>
      <c r="AY840" s="6">
        <v>-103.8</v>
      </c>
      <c r="AZ840" s="6">
        <v>270.3</v>
      </c>
      <c r="BA840" s="6"/>
      <c r="BB840" s="6">
        <v>-23.4</v>
      </c>
      <c r="BC840" s="6"/>
    </row>
    <row r="841" spans="32:55">
      <c r="AF841">
        <f t="shared" si="50"/>
        <v>0</v>
      </c>
      <c r="AG841" t="str">
        <f t="shared" si="51"/>
        <v>C₄H₁₀ (g)</v>
      </c>
      <c r="AH841" t="s">
        <v>2966</v>
      </c>
      <c r="AI841" t="s">
        <v>2967</v>
      </c>
      <c r="AJ841" t="s">
        <v>2967</v>
      </c>
      <c r="AL841" t="s">
        <v>2968</v>
      </c>
      <c r="AS841" t="s">
        <v>47</v>
      </c>
      <c r="AX841" s="6">
        <v>58.12</v>
      </c>
      <c r="AY841" s="6">
        <v>-126.1</v>
      </c>
      <c r="AZ841" s="6">
        <v>310.2</v>
      </c>
      <c r="BA841" s="6"/>
      <c r="BB841" s="6">
        <v>-17.02</v>
      </c>
      <c r="BC841" s="6"/>
    </row>
    <row r="842" spans="32:55">
      <c r="AF842">
        <f t="shared" si="50"/>
        <v>0</v>
      </c>
      <c r="AG842" t="str">
        <f t="shared" si="51"/>
        <v>C₅H₁₂ (l)</v>
      </c>
      <c r="AH842" t="s">
        <v>2969</v>
      </c>
      <c r="AI842" t="s">
        <v>2970</v>
      </c>
      <c r="AJ842" t="s">
        <v>2970</v>
      </c>
      <c r="AL842" t="s">
        <v>2971</v>
      </c>
      <c r="AS842" t="s">
        <v>239</v>
      </c>
      <c r="AX842" s="6">
        <v>72.150000000000006</v>
      </c>
      <c r="AY842" s="6">
        <v>-173.5</v>
      </c>
      <c r="AZ842" s="6">
        <v>349</v>
      </c>
      <c r="BA842" s="6"/>
      <c r="BB842" s="6">
        <v>-8.2100000000000009</v>
      </c>
      <c r="BC842" s="6"/>
    </row>
    <row r="843" spans="32:55">
      <c r="AF843">
        <f t="shared" si="50"/>
        <v>0</v>
      </c>
      <c r="AG843" t="str">
        <f t="shared" si="51"/>
        <v>C₆H₁₄ (l)</v>
      </c>
      <c r="AH843" t="s">
        <v>2972</v>
      </c>
      <c r="AI843" t="s">
        <v>2973</v>
      </c>
      <c r="AJ843" t="s">
        <v>2973</v>
      </c>
      <c r="AL843" t="s">
        <v>2974</v>
      </c>
      <c r="AS843" t="s">
        <v>239</v>
      </c>
      <c r="AX843" s="6">
        <v>86.18</v>
      </c>
      <c r="AY843" s="6">
        <v>-198.7</v>
      </c>
      <c r="AZ843" s="6">
        <v>296.2</v>
      </c>
      <c r="BA843" s="6"/>
      <c r="BB843" s="6">
        <v>-3.7</v>
      </c>
      <c r="BC843" s="6"/>
    </row>
    <row r="844" spans="32:55">
      <c r="AF844">
        <f t="shared" si="50"/>
        <v>0</v>
      </c>
      <c r="AG844" t="str">
        <f t="shared" si="51"/>
        <v>CH₃(CH₂)₄CH₃ (g)</v>
      </c>
      <c r="AH844" t="s">
        <v>2975</v>
      </c>
      <c r="AI844" t="s">
        <v>2976</v>
      </c>
      <c r="AJ844" t="s">
        <v>2977</v>
      </c>
      <c r="AL844" t="s">
        <v>2974</v>
      </c>
      <c r="AS844" t="s">
        <v>47</v>
      </c>
      <c r="AX844" s="6">
        <v>86.18</v>
      </c>
      <c r="AY844" s="6">
        <v>-166.9</v>
      </c>
      <c r="AZ844" s="6">
        <v>388.4</v>
      </c>
      <c r="BA844" s="6"/>
      <c r="BB844" s="6">
        <v>-0.17</v>
      </c>
      <c r="BC844" s="6"/>
    </row>
    <row r="845" spans="32:55">
      <c r="AF845">
        <f t="shared" si="50"/>
        <v>0</v>
      </c>
      <c r="AG845" t="str">
        <f t="shared" si="51"/>
        <v>C₇H₁₆ (l)</v>
      </c>
      <c r="AH845" t="s">
        <v>2978</v>
      </c>
      <c r="AI845" t="s">
        <v>2979</v>
      </c>
      <c r="AJ845" t="s">
        <v>2979</v>
      </c>
      <c r="AL845" t="s">
        <v>2980</v>
      </c>
      <c r="AS845" t="s">
        <v>239</v>
      </c>
      <c r="AX845" s="6">
        <v>100.21</v>
      </c>
      <c r="AY845" s="6">
        <v>-224.2</v>
      </c>
      <c r="AZ845" s="6">
        <v>326.10000000000002</v>
      </c>
      <c r="BA845" s="6"/>
      <c r="BB845" s="6">
        <v>1.89</v>
      </c>
      <c r="BC845" s="6"/>
    </row>
    <row r="846" spans="32:55">
      <c r="AF846">
        <f t="shared" si="50"/>
        <v>0</v>
      </c>
      <c r="AG846" t="str">
        <f t="shared" si="51"/>
        <v>CH₃(CH₂)₅CH₃ (g)</v>
      </c>
      <c r="AH846" t="s">
        <v>2981</v>
      </c>
      <c r="AI846" t="s">
        <v>2982</v>
      </c>
      <c r="AJ846" t="s">
        <v>2983</v>
      </c>
      <c r="AL846" t="s">
        <v>2980</v>
      </c>
      <c r="AS846" t="s">
        <v>47</v>
      </c>
      <c r="AX846" s="6">
        <v>100.21</v>
      </c>
      <c r="AY846" s="6">
        <v>-187.6</v>
      </c>
      <c r="AZ846" s="6">
        <v>428</v>
      </c>
      <c r="BA846" s="6"/>
      <c r="BB846" s="6">
        <v>8.09</v>
      </c>
      <c r="BC846" s="6"/>
    </row>
    <row r="847" spans="32:55">
      <c r="AF847">
        <f t="shared" si="50"/>
        <v>0</v>
      </c>
      <c r="AG847" t="str">
        <f t="shared" si="51"/>
        <v>C₈H₁₈ (l)</v>
      </c>
      <c r="AH847" t="s">
        <v>2984</v>
      </c>
      <c r="AI847" t="s">
        <v>2985</v>
      </c>
      <c r="AJ847" t="s">
        <v>2985</v>
      </c>
      <c r="AL847" t="s">
        <v>2986</v>
      </c>
      <c r="AS847" t="s">
        <v>239</v>
      </c>
      <c r="AX847" s="6">
        <v>114.23</v>
      </c>
      <c r="AY847" s="6">
        <v>-250.1</v>
      </c>
      <c r="AZ847" s="6">
        <v>357.8</v>
      </c>
      <c r="BA847" s="6"/>
      <c r="BB847" s="6">
        <v>7.56</v>
      </c>
      <c r="BC847" s="6"/>
    </row>
    <row r="848" spans="32:55">
      <c r="AF848">
        <f t="shared" si="50"/>
        <v>0</v>
      </c>
      <c r="AG848" t="str">
        <f t="shared" si="51"/>
        <v>CH₃(CH₂)₆CH₃ (g)</v>
      </c>
      <c r="AH848" t="s">
        <v>2987</v>
      </c>
      <c r="AI848" t="s">
        <v>2988</v>
      </c>
      <c r="AJ848" t="s">
        <v>2989</v>
      </c>
      <c r="AL848" t="s">
        <v>2986</v>
      </c>
      <c r="AS848" t="s">
        <v>47</v>
      </c>
      <c r="AX848" s="6">
        <v>114.23</v>
      </c>
      <c r="AY848" s="6">
        <v>-208.5</v>
      </c>
      <c r="AZ848" s="6">
        <v>466.7</v>
      </c>
      <c r="BA848" s="6"/>
      <c r="BB848" s="6">
        <v>16.510000000000002</v>
      </c>
      <c r="BC848" s="6"/>
    </row>
    <row r="849" spans="32:55">
      <c r="AF849">
        <f t="shared" si="50"/>
        <v>0</v>
      </c>
      <c r="AG849" t="str">
        <f t="shared" si="51"/>
        <v>C₉H₂₀ (l)</v>
      </c>
      <c r="AH849" t="s">
        <v>2990</v>
      </c>
      <c r="AI849" t="s">
        <v>2991</v>
      </c>
      <c r="AJ849" t="s">
        <v>2991</v>
      </c>
      <c r="AL849" t="s">
        <v>2992</v>
      </c>
      <c r="AS849" t="s">
        <v>239</v>
      </c>
      <c r="AX849" s="6">
        <v>128.26</v>
      </c>
      <c r="AY849" s="6">
        <v>-274.7</v>
      </c>
      <c r="AZ849" s="6">
        <v>393.7</v>
      </c>
      <c r="BA849" s="6"/>
      <c r="BB849" s="6">
        <v>11.92</v>
      </c>
      <c r="BC849" s="6"/>
    </row>
    <row r="850" spans="32:55">
      <c r="AF850">
        <f t="shared" si="50"/>
        <v>0</v>
      </c>
      <c r="AG850" t="str">
        <f t="shared" si="51"/>
        <v>C₁₀H₂₂ (l)</v>
      </c>
      <c r="AH850" t="s">
        <v>2993</v>
      </c>
      <c r="AI850" t="s">
        <v>2994</v>
      </c>
      <c r="AJ850" t="s">
        <v>2994</v>
      </c>
      <c r="AL850" t="s">
        <v>2995</v>
      </c>
      <c r="AS850" t="s">
        <v>239</v>
      </c>
      <c r="AX850" s="6">
        <v>142.29</v>
      </c>
      <c r="AY850" s="6">
        <v>-300.89999999999998</v>
      </c>
      <c r="AZ850" s="6">
        <v>425.6</v>
      </c>
      <c r="BA850" s="6"/>
      <c r="BB850" s="6">
        <v>17.72</v>
      </c>
      <c r="BC850" s="6"/>
    </row>
    <row r="851" spans="32:55">
      <c r="AF851">
        <f t="shared" si="50"/>
        <v>0</v>
      </c>
      <c r="AG851" t="str">
        <f t="shared" si="51"/>
        <v>CH₃(CH₂)₉CH₃ (l)</v>
      </c>
      <c r="AH851" t="s">
        <v>2996</v>
      </c>
      <c r="AI851" t="s">
        <v>2997</v>
      </c>
      <c r="AJ851" t="s">
        <v>2998</v>
      </c>
      <c r="AL851" t="s">
        <v>2999</v>
      </c>
      <c r="AS851" t="s">
        <v>239</v>
      </c>
      <c r="AX851" s="6">
        <v>156.32</v>
      </c>
      <c r="AY851" s="6">
        <v>-327.2</v>
      </c>
      <c r="AZ851" s="6">
        <v>458.2</v>
      </c>
      <c r="BA851" s="6"/>
      <c r="BB851" s="6">
        <v>22.96</v>
      </c>
      <c r="BC851" s="6"/>
    </row>
    <row r="852" spans="32:55">
      <c r="AF852">
        <f t="shared" si="50"/>
        <v>0</v>
      </c>
      <c r="AG852" t="str">
        <f t="shared" si="51"/>
        <v>CH₃(CH₂)₁₀CH₃ (l)</v>
      </c>
      <c r="AH852" t="s">
        <v>3000</v>
      </c>
      <c r="AI852" t="s">
        <v>3001</v>
      </c>
      <c r="AJ852" t="s">
        <v>3002</v>
      </c>
      <c r="AL852" t="s">
        <v>3003</v>
      </c>
      <c r="AS852" t="s">
        <v>239</v>
      </c>
      <c r="AX852" s="6">
        <v>170.34</v>
      </c>
      <c r="AY852" s="6">
        <v>-350.9</v>
      </c>
      <c r="AZ852" s="6">
        <v>490.7</v>
      </c>
      <c r="BA852" s="6"/>
      <c r="BB852" s="6">
        <v>28.28</v>
      </c>
      <c r="BC852" s="6"/>
    </row>
    <row r="853" spans="32:55">
      <c r="AF853">
        <f t="shared" si="50"/>
        <v>0</v>
      </c>
      <c r="AG853" t="str">
        <f t="shared" si="51"/>
        <v>CH₃(CH₂)₁₁CH₃ (g)</v>
      </c>
      <c r="AH853" t="s">
        <v>3004</v>
      </c>
      <c r="AI853" t="s">
        <v>3005</v>
      </c>
      <c r="AJ853" t="s">
        <v>3006</v>
      </c>
      <c r="AL853" t="s">
        <v>3007</v>
      </c>
      <c r="AS853" t="s">
        <v>47</v>
      </c>
      <c r="AX853" s="6">
        <v>184.37</v>
      </c>
      <c r="AY853" s="6">
        <v>-311.5</v>
      </c>
      <c r="AZ853" s="6">
        <v>661.6</v>
      </c>
      <c r="BA853" s="6"/>
      <c r="BB853" s="6">
        <v>58.65</v>
      </c>
      <c r="BC853" s="6"/>
    </row>
    <row r="854" spans="32:55">
      <c r="AF854">
        <f t="shared" si="50"/>
        <v>0</v>
      </c>
      <c r="AG854" t="str">
        <f t="shared" si="51"/>
        <v>CH₃(CH₂)₁₂CH₃ (g)</v>
      </c>
      <c r="AH854" t="s">
        <v>3008</v>
      </c>
      <c r="AI854" t="s">
        <v>3009</v>
      </c>
      <c r="AJ854" t="s">
        <v>3010</v>
      </c>
      <c r="AL854" t="s">
        <v>3011</v>
      </c>
      <c r="AS854" t="s">
        <v>47</v>
      </c>
      <c r="AX854" s="6">
        <v>198.4</v>
      </c>
      <c r="AY854" s="6">
        <v>-332.13</v>
      </c>
      <c r="AZ854" s="6">
        <v>700.5</v>
      </c>
      <c r="BA854" s="6"/>
      <c r="BB854" s="6">
        <v>66.23</v>
      </c>
      <c r="BC854" s="6"/>
    </row>
    <row r="855" spans="32:55">
      <c r="AF855">
        <f t="shared" si="50"/>
        <v>0</v>
      </c>
      <c r="AG855" t="str">
        <f t="shared" si="51"/>
        <v>CH₃(CH₂)₁₃CH₃ (g)</v>
      </c>
      <c r="AH855" t="s">
        <v>3012</v>
      </c>
      <c r="AI855" t="s">
        <v>3013</v>
      </c>
      <c r="AJ855" t="s">
        <v>3014</v>
      </c>
      <c r="AL855" t="s">
        <v>3015</v>
      </c>
      <c r="AS855" t="s">
        <v>47</v>
      </c>
      <c r="AX855" s="6">
        <v>212.42</v>
      </c>
      <c r="AY855" s="6">
        <v>-352.75</v>
      </c>
      <c r="AZ855" s="6">
        <v>739.5</v>
      </c>
      <c r="BA855" s="6"/>
      <c r="BB855" s="6">
        <v>75.459999999999994</v>
      </c>
      <c r="BC855" s="6"/>
    </row>
    <row r="856" spans="32:55">
      <c r="AF856">
        <f t="shared" si="50"/>
        <v>0</v>
      </c>
      <c r="AG856" t="str">
        <f t="shared" si="51"/>
        <v>CH₃(CH₂)₁₄CH₃ (g)</v>
      </c>
      <c r="AH856" t="s">
        <v>3016</v>
      </c>
      <c r="AI856" t="s">
        <v>3017</v>
      </c>
      <c r="AJ856" t="s">
        <v>3018</v>
      </c>
      <c r="AL856" t="s">
        <v>3019</v>
      </c>
      <c r="AS856" t="s">
        <v>47</v>
      </c>
      <c r="AX856" s="6">
        <v>226.45</v>
      </c>
      <c r="AY856" s="6">
        <v>-374.8</v>
      </c>
      <c r="AZ856" s="6">
        <v>778.4</v>
      </c>
      <c r="BA856" s="6"/>
      <c r="BB856" s="6">
        <v>83.93</v>
      </c>
      <c r="BC856" s="6"/>
    </row>
    <row r="857" spans="32:55">
      <c r="AF857">
        <f t="shared" si="50"/>
        <v>0</v>
      </c>
      <c r="AG857" t="str">
        <f t="shared" si="51"/>
        <v>CH₃(CH₂)₁₅CH₃ (g)</v>
      </c>
      <c r="AH857" t="s">
        <v>3020</v>
      </c>
      <c r="AI857" t="s">
        <v>3021</v>
      </c>
      <c r="AJ857" t="s">
        <v>3022</v>
      </c>
      <c r="AL857" t="s">
        <v>3023</v>
      </c>
      <c r="AS857" t="s">
        <v>47</v>
      </c>
      <c r="AX857" s="6">
        <v>240.47</v>
      </c>
      <c r="AY857" s="6">
        <v>-393.92</v>
      </c>
      <c r="AZ857" s="6">
        <v>817.4</v>
      </c>
      <c r="BA857" s="6"/>
      <c r="BB857" s="6">
        <v>92.37</v>
      </c>
      <c r="BC857" s="6"/>
    </row>
    <row r="858" spans="32:55">
      <c r="AF858">
        <f t="shared" si="50"/>
        <v>0</v>
      </c>
      <c r="AG858" t="str">
        <f t="shared" si="51"/>
        <v>CH₃(CH₂)₁₆CH₃ (g)</v>
      </c>
      <c r="AH858" t="s">
        <v>3024</v>
      </c>
      <c r="AI858" t="s">
        <v>3025</v>
      </c>
      <c r="AJ858" t="s">
        <v>3026</v>
      </c>
      <c r="AL858" t="s">
        <v>3027</v>
      </c>
      <c r="AS858" t="s">
        <v>47</v>
      </c>
      <c r="AX858" s="6">
        <v>254.5</v>
      </c>
      <c r="AY858" s="6">
        <v>-414.6</v>
      </c>
      <c r="AZ858" s="6">
        <v>856.3</v>
      </c>
      <c r="BA858" s="6"/>
      <c r="BB858" s="6">
        <v>100.78</v>
      </c>
      <c r="BC858" s="6"/>
    </row>
    <row r="859" spans="32:55">
      <c r="AF859">
        <f t="shared" si="50"/>
        <v>0</v>
      </c>
      <c r="AG859" t="str">
        <f t="shared" si="51"/>
        <v>CH₃(CH₂)₁₇CH₃ (g)</v>
      </c>
      <c r="AH859" t="s">
        <v>3028</v>
      </c>
      <c r="AI859" t="s">
        <v>3029</v>
      </c>
      <c r="AJ859" t="s">
        <v>3030</v>
      </c>
      <c r="AL859" t="s">
        <v>3031</v>
      </c>
      <c r="AS859" t="s">
        <v>47</v>
      </c>
      <c r="AX859" s="6">
        <v>268.51</v>
      </c>
      <c r="AY859" s="6">
        <v>-435.14</v>
      </c>
      <c r="AZ859" s="6">
        <v>895.3</v>
      </c>
      <c r="BA859" s="6"/>
      <c r="BB859" s="6">
        <v>109.2</v>
      </c>
      <c r="BC859" s="6"/>
    </row>
    <row r="860" spans="32:55">
      <c r="AF860">
        <f t="shared" si="50"/>
        <v>0</v>
      </c>
      <c r="AG860" t="str">
        <f t="shared" si="51"/>
        <v>CH₃(CH₂)₁₈CH₃ (g)</v>
      </c>
      <c r="AH860" t="s">
        <v>3032</v>
      </c>
      <c r="AI860" t="s">
        <v>3033</v>
      </c>
      <c r="AJ860" t="s">
        <v>3034</v>
      </c>
      <c r="AL860" t="s">
        <v>3035</v>
      </c>
      <c r="AS860" t="s">
        <v>47</v>
      </c>
      <c r="AX860" s="6">
        <v>282.54000000000002</v>
      </c>
      <c r="AY860" s="6">
        <v>-455.76</v>
      </c>
      <c r="AZ860" s="6">
        <v>934.2</v>
      </c>
      <c r="BA860" s="6"/>
      <c r="BB860" s="6">
        <v>117.63</v>
      </c>
      <c r="BC860" s="6"/>
    </row>
    <row r="861" spans="32:55">
      <c r="AF861">
        <f t="shared" si="50"/>
        <v>0</v>
      </c>
      <c r="AG861" t="str">
        <f t="shared" si="51"/>
        <v>(CH₃)₃CH (g)</v>
      </c>
      <c r="AH861" t="s">
        <v>3036</v>
      </c>
      <c r="AI861" t="s">
        <v>3037</v>
      </c>
      <c r="AJ861" t="s">
        <v>3038</v>
      </c>
      <c r="AK861" t="s">
        <v>3039</v>
      </c>
      <c r="AL861" t="s">
        <v>3040</v>
      </c>
      <c r="AS861" t="s">
        <v>47</v>
      </c>
      <c r="AX861" s="6">
        <v>58.12</v>
      </c>
      <c r="AY861" s="6">
        <v>-125.7</v>
      </c>
      <c r="AZ861" s="6">
        <v>294.7</v>
      </c>
      <c r="BA861" s="6"/>
      <c r="BB861" s="6">
        <v>-20.86</v>
      </c>
      <c r="BC861" s="6"/>
    </row>
    <row r="862" spans="32:55">
      <c r="AF862">
        <f t="shared" si="50"/>
        <v>0</v>
      </c>
      <c r="AG862" t="str">
        <f t="shared" si="51"/>
        <v>(CH₃)₂CHCH₂CH₃ (g)</v>
      </c>
      <c r="AH862" t="s">
        <v>3041</v>
      </c>
      <c r="AI862" t="s">
        <v>3042</v>
      </c>
      <c r="AJ862" t="s">
        <v>3043</v>
      </c>
      <c r="AK862" t="s">
        <v>3044</v>
      </c>
      <c r="AL862" t="s">
        <v>3045</v>
      </c>
      <c r="AS862" t="s">
        <v>47</v>
      </c>
      <c r="AX862" s="6">
        <v>72.150000000000006</v>
      </c>
      <c r="AY862" s="6">
        <v>-154.6</v>
      </c>
      <c r="AZ862" s="6">
        <v>343.7</v>
      </c>
      <c r="BA862" s="6"/>
      <c r="BB862" s="6">
        <v>-14.75</v>
      </c>
      <c r="BC862" s="6"/>
    </row>
    <row r="863" spans="32:55">
      <c r="AF863">
        <f t="shared" si="50"/>
        <v>0</v>
      </c>
      <c r="AG863" t="str">
        <f t="shared" si="51"/>
        <v>C(CH₃)₄ (g)</v>
      </c>
      <c r="AH863" t="s">
        <v>3046</v>
      </c>
      <c r="AI863" t="s">
        <v>3047</v>
      </c>
      <c r="AJ863" t="s">
        <v>3048</v>
      </c>
      <c r="AK863" t="s">
        <v>3049</v>
      </c>
      <c r="AL863" t="s">
        <v>3050</v>
      </c>
      <c r="AS863" t="s">
        <v>47</v>
      </c>
      <c r="AX863" s="6">
        <v>72.150000000000006</v>
      </c>
      <c r="AY863" s="6">
        <v>-168</v>
      </c>
      <c r="AZ863" s="6">
        <v>306.5</v>
      </c>
      <c r="BA863" s="6"/>
      <c r="BB863" s="6">
        <v>-1.42</v>
      </c>
      <c r="BC863" s="6"/>
    </row>
    <row r="864" spans="32:55">
      <c r="AF864">
        <f t="shared" si="50"/>
        <v>0</v>
      </c>
      <c r="AG864" t="str">
        <f t="shared" si="51"/>
        <v>(CH₃)₂CH(CH₂)₂CH₃ (g)</v>
      </c>
      <c r="AH864" t="s">
        <v>3051</v>
      </c>
      <c r="AI864" t="s">
        <v>3052</v>
      </c>
      <c r="AJ864" t="s">
        <v>3053</v>
      </c>
      <c r="AL864" t="s">
        <v>3054</v>
      </c>
      <c r="AS864" t="s">
        <v>47</v>
      </c>
      <c r="AX864" s="6">
        <v>86.18</v>
      </c>
      <c r="AY864" s="6">
        <v>-166.9</v>
      </c>
      <c r="AZ864" s="6">
        <v>380.6</v>
      </c>
      <c r="BA864" s="6"/>
      <c r="BB864" s="6">
        <v>-4.92</v>
      </c>
      <c r="BC864" s="6"/>
    </row>
    <row r="865" spans="32:55">
      <c r="AF865">
        <f t="shared" si="50"/>
        <v>0</v>
      </c>
      <c r="AG865" t="str">
        <f t="shared" si="51"/>
        <v>CH₃CH(CH₂CH₃)₂ (g)</v>
      </c>
      <c r="AH865" t="s">
        <v>3055</v>
      </c>
      <c r="AI865" t="s">
        <v>3056</v>
      </c>
      <c r="AJ865" t="s">
        <v>3057</v>
      </c>
      <c r="AL865" t="s">
        <v>3058</v>
      </c>
      <c r="AS865" t="s">
        <v>47</v>
      </c>
      <c r="AX865" s="6">
        <v>86.18</v>
      </c>
      <c r="AY865" s="6">
        <v>-171.9</v>
      </c>
      <c r="AZ865" s="6">
        <v>379.9</v>
      </c>
      <c r="BA865" s="6"/>
      <c r="BB865" s="6">
        <v>-2.0299999999999998</v>
      </c>
      <c r="BC865" s="6"/>
    </row>
    <row r="866" spans="32:55">
      <c r="AF866">
        <f t="shared" si="50"/>
        <v>0</v>
      </c>
      <c r="AG866" t="str">
        <f t="shared" si="51"/>
        <v>CH₃CH₂C(CH₃)₃ (g)</v>
      </c>
      <c r="AH866" t="s">
        <v>3059</v>
      </c>
      <c r="AI866" t="s">
        <v>3060</v>
      </c>
      <c r="AJ866" t="s">
        <v>3061</v>
      </c>
      <c r="AL866" t="s">
        <v>3062</v>
      </c>
      <c r="AS866" t="s">
        <v>47</v>
      </c>
      <c r="AX866" s="6">
        <v>86.18</v>
      </c>
      <c r="AY866" s="6">
        <v>-185.9</v>
      </c>
      <c r="AZ866" s="6">
        <v>358.3</v>
      </c>
      <c r="BA866" s="6"/>
      <c r="BB866" s="6">
        <v>-9.1</v>
      </c>
      <c r="BC866" s="6"/>
    </row>
    <row r="867" spans="32:55">
      <c r="AF867">
        <f t="shared" si="50"/>
        <v>0</v>
      </c>
      <c r="AG867" t="str">
        <f t="shared" si="51"/>
        <v>(CH₃)₂CHCH(CH₃)₂ (g)</v>
      </c>
      <c r="AH867" t="s">
        <v>3063</v>
      </c>
      <c r="AI867" t="s">
        <v>3064</v>
      </c>
      <c r="AJ867" t="s">
        <v>3065</v>
      </c>
      <c r="AL867" t="s">
        <v>3066</v>
      </c>
      <c r="AS867" t="s">
        <v>47</v>
      </c>
      <c r="AX867" s="6">
        <v>86.18</v>
      </c>
      <c r="AY867" s="6">
        <v>-178.1</v>
      </c>
      <c r="AZ867" s="6">
        <v>365.9</v>
      </c>
      <c r="BA867" s="6"/>
      <c r="BB867" s="6">
        <v>-4</v>
      </c>
      <c r="BC867" s="6"/>
    </row>
    <row r="868" spans="32:55">
      <c r="AF868">
        <f t="shared" si="50"/>
        <v>0</v>
      </c>
      <c r="AG868" t="str">
        <f t="shared" si="51"/>
        <v>(CH₃)₂CH(CH₂)₃CH₃ (l)</v>
      </c>
      <c r="AH868" t="s">
        <v>3067</v>
      </c>
      <c r="AI868" t="s">
        <v>3068</v>
      </c>
      <c r="AJ868" t="s">
        <v>3069</v>
      </c>
      <c r="AL868" t="s">
        <v>3070</v>
      </c>
      <c r="AS868" t="s">
        <v>239</v>
      </c>
      <c r="AX868" s="6">
        <v>100.2</v>
      </c>
      <c r="AY868" s="6">
        <v>-229.5</v>
      </c>
      <c r="AZ868" s="6">
        <v>323.3</v>
      </c>
      <c r="BA868" s="6"/>
      <c r="BB868" s="6">
        <v>-2.74</v>
      </c>
      <c r="BC868" s="6"/>
    </row>
    <row r="869" spans="32:55">
      <c r="AF869">
        <f t="shared" si="50"/>
        <v>0</v>
      </c>
      <c r="AG869" t="str">
        <f t="shared" si="51"/>
        <v>(CH₃)₂CH(CH₂)₃CH₃ (g)</v>
      </c>
      <c r="AH869" t="s">
        <v>3067</v>
      </c>
      <c r="AI869" t="s">
        <v>3068</v>
      </c>
      <c r="AJ869" t="s">
        <v>3069</v>
      </c>
      <c r="AL869" t="s">
        <v>3070</v>
      </c>
      <c r="AS869" t="s">
        <v>47</v>
      </c>
      <c r="AX869" s="6">
        <v>100.2</v>
      </c>
      <c r="AY869" s="6">
        <v>-194.5</v>
      </c>
      <c r="AZ869" s="6">
        <v>420.1</v>
      </c>
      <c r="BA869" s="6"/>
      <c r="BB869" s="6">
        <v>3.37</v>
      </c>
      <c r="BC869" s="6"/>
    </row>
    <row r="870" spans="32:55">
      <c r="AF870">
        <f t="shared" si="50"/>
        <v>0</v>
      </c>
      <c r="AG870" t="str">
        <f t="shared" si="51"/>
        <v>CH₃CH₂CH(CH₃)(CH₂)₂CH₃ (l)</v>
      </c>
      <c r="AH870" t="s">
        <v>3071</v>
      </c>
      <c r="AI870" t="s">
        <v>3072</v>
      </c>
      <c r="AJ870" t="s">
        <v>3073</v>
      </c>
      <c r="AL870" t="s">
        <v>3074</v>
      </c>
      <c r="AS870" t="s">
        <v>239</v>
      </c>
      <c r="AX870" s="6">
        <v>100.2</v>
      </c>
      <c r="AY870" s="6">
        <v>-226.4</v>
      </c>
      <c r="AZ870" s="6">
        <v>327.3</v>
      </c>
      <c r="BA870" s="6"/>
      <c r="BB870" s="6">
        <v>-1.46</v>
      </c>
      <c r="BC870" s="6"/>
    </row>
    <row r="871" spans="32:55">
      <c r="AF871">
        <f t="shared" si="50"/>
        <v>0</v>
      </c>
      <c r="AG871" t="str">
        <f t="shared" si="51"/>
        <v>CH₃CH₂CH(CH₃)(CH₂)₂CH₃ (g)</v>
      </c>
      <c r="AH871" t="s">
        <v>3071</v>
      </c>
      <c r="AI871" t="s">
        <v>3072</v>
      </c>
      <c r="AJ871" t="s">
        <v>3073</v>
      </c>
      <c r="AL871" t="s">
        <v>3074</v>
      </c>
      <c r="AS871" t="s">
        <v>47</v>
      </c>
      <c r="AX871" s="6">
        <v>100.2</v>
      </c>
      <c r="AY871" s="6">
        <v>-191.3</v>
      </c>
      <c r="AZ871" s="6">
        <v>424.2</v>
      </c>
      <c r="BA871" s="6"/>
      <c r="BB871" s="6">
        <v>4.75</v>
      </c>
      <c r="BC871" s="6"/>
    </row>
    <row r="872" spans="32:55">
      <c r="AF872">
        <f t="shared" si="50"/>
        <v>0</v>
      </c>
      <c r="AG872" t="str">
        <f t="shared" si="51"/>
        <v>(CH₃)₃C(CH₂)₂CH₃ (g)</v>
      </c>
      <c r="AH872" t="s">
        <v>3075</v>
      </c>
      <c r="AI872" t="s">
        <v>3076</v>
      </c>
      <c r="AJ872" t="s">
        <v>3077</v>
      </c>
      <c r="AL872" t="s">
        <v>3078</v>
      </c>
      <c r="AS872" t="s">
        <v>47</v>
      </c>
      <c r="AX872" s="6">
        <v>100.2</v>
      </c>
      <c r="AY872" s="6">
        <v>-205.7</v>
      </c>
      <c r="AZ872" s="6">
        <v>393</v>
      </c>
      <c r="BA872" s="6"/>
      <c r="BB872" s="6">
        <v>0.23</v>
      </c>
      <c r="BC872" s="6"/>
    </row>
    <row r="873" spans="32:55">
      <c r="AF873">
        <f t="shared" si="50"/>
        <v>0</v>
      </c>
      <c r="AG873" t="str">
        <f t="shared" si="51"/>
        <v>(CH₃)₂CHCH(CH₃)CH₂CH₃ (g)</v>
      </c>
      <c r="AH873" t="s">
        <v>3079</v>
      </c>
      <c r="AI873" t="s">
        <v>3080</v>
      </c>
      <c r="AJ873" t="s">
        <v>3081</v>
      </c>
      <c r="AL873" t="s">
        <v>3082</v>
      </c>
      <c r="AS873" t="s">
        <v>47</v>
      </c>
      <c r="AX873" s="6">
        <v>100.2</v>
      </c>
      <c r="AY873" s="6">
        <v>-198.7</v>
      </c>
      <c r="AZ873" s="6">
        <v>414.1</v>
      </c>
      <c r="BA873" s="6"/>
      <c r="BB873" s="6">
        <v>0.82</v>
      </c>
      <c r="BC873" s="6"/>
    </row>
    <row r="874" spans="32:55">
      <c r="AF874">
        <f t="shared" si="50"/>
        <v>0</v>
      </c>
      <c r="AG874" t="str">
        <f t="shared" si="51"/>
        <v>(CH₃)₂C(CH₂CH₃)₂ (g)</v>
      </c>
      <c r="AH874" t="s">
        <v>3083</v>
      </c>
      <c r="AI874" t="s">
        <v>3084</v>
      </c>
      <c r="AJ874" t="s">
        <v>3085</v>
      </c>
      <c r="AL874" t="s">
        <v>3086</v>
      </c>
      <c r="AS874" t="s">
        <v>47</v>
      </c>
      <c r="AX874" s="6">
        <v>100.2</v>
      </c>
      <c r="AY874" s="6">
        <v>-201</v>
      </c>
      <c r="AZ874" s="6">
        <v>400</v>
      </c>
      <c r="BA874" s="6"/>
      <c r="BB874" s="6">
        <v>2.79</v>
      </c>
      <c r="BC874" s="6"/>
    </row>
    <row r="875" spans="32:55">
      <c r="AF875">
        <f t="shared" si="50"/>
        <v>0</v>
      </c>
      <c r="AG875" t="str">
        <f t="shared" si="51"/>
        <v>CH₂(CH(CH₃)₂)₂ (g)</v>
      </c>
      <c r="AH875" t="s">
        <v>3087</v>
      </c>
      <c r="AI875" t="s">
        <v>3088</v>
      </c>
      <c r="AJ875" t="s">
        <v>3089</v>
      </c>
      <c r="AL875" t="s">
        <v>3090</v>
      </c>
      <c r="AS875" t="s">
        <v>47</v>
      </c>
      <c r="AX875" s="6">
        <v>100.2</v>
      </c>
      <c r="AY875" s="6">
        <v>-201.6</v>
      </c>
      <c r="AZ875" s="6">
        <v>396.7</v>
      </c>
      <c r="BA875" s="6"/>
      <c r="BB875" s="6">
        <v>3.25</v>
      </c>
      <c r="BC875" s="6"/>
    </row>
    <row r="876" spans="32:55">
      <c r="AF876">
        <f t="shared" si="50"/>
        <v>0</v>
      </c>
      <c r="AG876" t="str">
        <f t="shared" si="51"/>
        <v>(CH₃)₃CCH(CH₃)CH₃ (g)</v>
      </c>
      <c r="AH876" t="s">
        <v>3091</v>
      </c>
      <c r="AI876" t="s">
        <v>3092</v>
      </c>
      <c r="AJ876" t="s">
        <v>3093</v>
      </c>
      <c r="AL876" t="s">
        <v>3094</v>
      </c>
      <c r="AS876" t="s">
        <v>47</v>
      </c>
      <c r="AX876" s="6">
        <v>100.2</v>
      </c>
      <c r="AY876" s="6">
        <v>-204.4</v>
      </c>
      <c r="AZ876" s="6">
        <v>383.4</v>
      </c>
      <c r="BA876" s="6"/>
      <c r="BB876" s="6">
        <v>4.42</v>
      </c>
      <c r="BC876" s="6"/>
    </row>
    <row r="877" spans="32:55">
      <c r="AF877">
        <f t="shared" si="50"/>
        <v>0</v>
      </c>
      <c r="AG877" t="str">
        <f t="shared" si="51"/>
        <v>CH₃CH₂CH(C₂H₅)CH₂CH₃ (l)</v>
      </c>
      <c r="AH877" t="s">
        <v>3095</v>
      </c>
      <c r="AI877" t="s">
        <v>3096</v>
      </c>
      <c r="AJ877" t="s">
        <v>3097</v>
      </c>
      <c r="AL877" t="s">
        <v>3098</v>
      </c>
      <c r="AS877" t="s">
        <v>239</v>
      </c>
      <c r="AX877" s="6">
        <v>100.2</v>
      </c>
      <c r="AY877" s="6">
        <v>-224.9</v>
      </c>
      <c r="AZ877" s="6">
        <v>314.5</v>
      </c>
      <c r="BA877" s="6"/>
      <c r="BB877" s="6" t="s">
        <v>168</v>
      </c>
      <c r="BC877" s="6"/>
    </row>
    <row r="878" spans="32:55">
      <c r="AF878">
        <f t="shared" si="50"/>
        <v>0</v>
      </c>
      <c r="AG878" t="str">
        <f t="shared" si="51"/>
        <v>(CH₃)₂CHCH₂C(CH₃)₃ (l)</v>
      </c>
      <c r="AH878" t="s">
        <v>3099</v>
      </c>
      <c r="AI878" t="s">
        <v>3100</v>
      </c>
      <c r="AJ878" t="s">
        <v>3101</v>
      </c>
      <c r="AK878" t="s">
        <v>3102</v>
      </c>
      <c r="AL878" t="s">
        <v>3103</v>
      </c>
      <c r="AS878" t="s">
        <v>239</v>
      </c>
      <c r="AX878" s="6">
        <v>114.23</v>
      </c>
      <c r="AY878" s="6">
        <v>-255</v>
      </c>
      <c r="AZ878" s="6">
        <v>329.3</v>
      </c>
      <c r="BA878" s="6"/>
      <c r="BB878" s="6">
        <v>7.08</v>
      </c>
      <c r="BC878" s="6"/>
    </row>
    <row r="879" spans="32:55">
      <c r="AF879">
        <f t="shared" si="50"/>
        <v>0</v>
      </c>
      <c r="AG879" t="str">
        <f t="shared" si="51"/>
        <v>(CH₃)₂CHCH₂C(CH₃)₃ (g)</v>
      </c>
      <c r="AH879" t="s">
        <v>3099</v>
      </c>
      <c r="AI879" t="s">
        <v>3100</v>
      </c>
      <c r="AJ879" t="s">
        <v>3101</v>
      </c>
      <c r="AL879" t="s">
        <v>3103</v>
      </c>
      <c r="AS879" t="s">
        <v>47</v>
      </c>
      <c r="AX879" s="6">
        <v>114.23</v>
      </c>
      <c r="AY879" s="6">
        <v>-217.3</v>
      </c>
      <c r="AZ879" s="6">
        <v>423.2</v>
      </c>
      <c r="BA879" s="6"/>
      <c r="BB879" s="6">
        <v>13.82</v>
      </c>
      <c r="BC879" s="6"/>
    </row>
    <row r="880" spans="32:55">
      <c r="AF880">
        <f t="shared" si="50"/>
        <v>0</v>
      </c>
      <c r="AG880" t="str">
        <f t="shared" si="51"/>
        <v>C₃H₆ (g)</v>
      </c>
      <c r="AH880" t="s">
        <v>3104</v>
      </c>
      <c r="AI880" t="s">
        <v>3105</v>
      </c>
      <c r="AJ880" t="s">
        <v>3105</v>
      </c>
      <c r="AL880" t="s">
        <v>3106</v>
      </c>
      <c r="AS880" t="s">
        <v>47</v>
      </c>
      <c r="AX880" s="6">
        <v>42.08</v>
      </c>
      <c r="AY880" s="6">
        <v>53.2</v>
      </c>
      <c r="AZ880" s="6">
        <v>237.5</v>
      </c>
      <c r="BA880" s="6"/>
      <c r="BB880" s="6">
        <v>104.39</v>
      </c>
      <c r="BC880" s="6"/>
    </row>
    <row r="881" spans="32:55">
      <c r="AF881">
        <f t="shared" si="50"/>
        <v>0</v>
      </c>
      <c r="AG881" t="str">
        <f t="shared" si="51"/>
        <v>C₄H₈ (g)</v>
      </c>
      <c r="AH881" t="s">
        <v>3107</v>
      </c>
      <c r="AI881" t="s">
        <v>3108</v>
      </c>
      <c r="AJ881" t="s">
        <v>3108</v>
      </c>
      <c r="AL881" t="s">
        <v>3109</v>
      </c>
      <c r="AS881" t="s">
        <v>47</v>
      </c>
      <c r="AX881" s="6">
        <v>56.12</v>
      </c>
      <c r="AY881" s="6">
        <v>26.65</v>
      </c>
      <c r="AZ881" s="6">
        <v>265.5</v>
      </c>
      <c r="BA881" s="6"/>
      <c r="BB881" s="6">
        <v>110.06</v>
      </c>
      <c r="BC881" s="6"/>
    </row>
    <row r="882" spans="32:55">
      <c r="AF882">
        <f t="shared" si="50"/>
        <v>0</v>
      </c>
      <c r="AG882" t="str">
        <f t="shared" si="51"/>
        <v>C₅H₁₀ (l)</v>
      </c>
      <c r="AH882" t="s">
        <v>3110</v>
      </c>
      <c r="AI882" t="s">
        <v>3111</v>
      </c>
      <c r="AJ882" t="s">
        <v>3111</v>
      </c>
      <c r="AL882" t="s">
        <v>3112</v>
      </c>
      <c r="AS882" t="s">
        <v>239</v>
      </c>
      <c r="AX882" s="6">
        <v>70.14</v>
      </c>
      <c r="AY882" s="6">
        <v>-105.77</v>
      </c>
      <c r="AZ882" s="6">
        <v>204.3</v>
      </c>
      <c r="BA882" s="6"/>
      <c r="BB882" s="6">
        <v>36.51</v>
      </c>
      <c r="BC882" s="6"/>
    </row>
    <row r="883" spans="32:55">
      <c r="AF883">
        <f t="shared" si="50"/>
        <v>0</v>
      </c>
      <c r="AG883" t="str">
        <f t="shared" si="51"/>
        <v>C₅H₁₀ (g)</v>
      </c>
      <c r="AH883" t="s">
        <v>3110</v>
      </c>
      <c r="AI883" t="s">
        <v>3111</v>
      </c>
      <c r="AJ883" t="s">
        <v>3111</v>
      </c>
      <c r="AL883" t="s">
        <v>3112</v>
      </c>
      <c r="AS883" t="s">
        <v>47</v>
      </c>
      <c r="AX883" s="6">
        <v>70.14</v>
      </c>
      <c r="AY883" s="6">
        <v>-77.239999999999995</v>
      </c>
      <c r="AZ883" s="6">
        <v>293</v>
      </c>
      <c r="BA883" s="6"/>
      <c r="BB883" s="6">
        <v>38.67</v>
      </c>
      <c r="BC883" s="6"/>
    </row>
    <row r="884" spans="32:55">
      <c r="AF884">
        <f t="shared" si="50"/>
        <v>0</v>
      </c>
      <c r="AG884" t="str">
        <f t="shared" si="51"/>
        <v>C₆H₁₂ (l)</v>
      </c>
      <c r="AH884" t="s">
        <v>3113</v>
      </c>
      <c r="AI884" t="s">
        <v>3114</v>
      </c>
      <c r="AJ884" t="s">
        <v>3114</v>
      </c>
      <c r="AL884" t="s">
        <v>3115</v>
      </c>
      <c r="AS884" t="s">
        <v>239</v>
      </c>
      <c r="AX884" s="6">
        <v>84.16</v>
      </c>
      <c r="AY884" s="6">
        <v>-156.22999999999999</v>
      </c>
      <c r="AZ884" s="6">
        <v>204.3</v>
      </c>
      <c r="BA884" s="6"/>
      <c r="BB884" s="6">
        <v>26.75</v>
      </c>
      <c r="BC884" s="6"/>
    </row>
    <row r="885" spans="32:55">
      <c r="AF885">
        <f t="shared" si="50"/>
        <v>0</v>
      </c>
      <c r="AG885" t="str">
        <f t="shared" si="51"/>
        <v>C₆H₁₂ (g)</v>
      </c>
      <c r="AH885" t="s">
        <v>3113</v>
      </c>
      <c r="AI885" t="s">
        <v>3114</v>
      </c>
      <c r="AJ885" t="s">
        <v>3114</v>
      </c>
      <c r="AL885" t="s">
        <v>3115</v>
      </c>
      <c r="AS885" t="s">
        <v>47</v>
      </c>
      <c r="AX885" s="6">
        <v>84.16</v>
      </c>
      <c r="AY885" s="6">
        <v>-123.14</v>
      </c>
      <c r="AZ885" s="6">
        <v>298.3</v>
      </c>
      <c r="BA885" s="6"/>
      <c r="BB885" s="6">
        <v>31.83</v>
      </c>
      <c r="BC885" s="6"/>
    </row>
    <row r="886" spans="32:55">
      <c r="AF886">
        <f t="shared" si="50"/>
        <v>0</v>
      </c>
      <c r="AG886" t="str">
        <f t="shared" si="51"/>
        <v>C₆H₁₁CH₃ (l)</v>
      </c>
      <c r="AH886" t="s">
        <v>3116</v>
      </c>
      <c r="AI886" t="s">
        <v>3117</v>
      </c>
      <c r="AJ886" t="s">
        <v>3117</v>
      </c>
      <c r="AL886" t="s">
        <v>3118</v>
      </c>
      <c r="AS886" t="s">
        <v>239</v>
      </c>
      <c r="AX886" s="6">
        <v>98.19</v>
      </c>
      <c r="AY886" s="6">
        <v>-190.16</v>
      </c>
      <c r="AZ886" s="6">
        <v>247.9</v>
      </c>
      <c r="BA886" s="6"/>
      <c r="BB886" s="6">
        <v>20.45</v>
      </c>
      <c r="BC886" s="6"/>
    </row>
    <row r="887" spans="32:55">
      <c r="AF887">
        <f t="shared" si="50"/>
        <v>0</v>
      </c>
      <c r="AG887" t="str">
        <f t="shared" si="51"/>
        <v>C₆H₁₁CH₃ (g)</v>
      </c>
      <c r="AH887" t="s">
        <v>3116</v>
      </c>
      <c r="AI887" t="s">
        <v>3117</v>
      </c>
      <c r="AJ887" t="s">
        <v>3117</v>
      </c>
      <c r="AL887" t="s">
        <v>3118</v>
      </c>
      <c r="AS887" t="s">
        <v>47</v>
      </c>
      <c r="AX887" s="6">
        <v>98.19</v>
      </c>
      <c r="AY887" s="6">
        <v>-154.77000000000001</v>
      </c>
      <c r="AZ887" s="6">
        <v>343.4</v>
      </c>
      <c r="BA887" s="6"/>
      <c r="BB887" s="6">
        <v>27.36</v>
      </c>
      <c r="BC887" s="6"/>
    </row>
    <row r="888" spans="32:55">
      <c r="AF888">
        <f t="shared" si="50"/>
        <v>0</v>
      </c>
      <c r="AG888" t="str">
        <f t="shared" si="51"/>
        <v>(CH₃)₂C₆H₁₀ (l)</v>
      </c>
      <c r="AH888" t="s">
        <v>3119</v>
      </c>
      <c r="AI888" t="s">
        <v>3120</v>
      </c>
      <c r="AJ888" t="s">
        <v>3121</v>
      </c>
      <c r="AL888" t="s">
        <v>3122</v>
      </c>
      <c r="AS888" t="s">
        <v>239</v>
      </c>
      <c r="AX888" s="6">
        <v>112.22</v>
      </c>
      <c r="AY888" s="6">
        <v>-218.86</v>
      </c>
      <c r="AZ888" s="6">
        <v>267.2</v>
      </c>
      <c r="BA888" s="6"/>
      <c r="BB888" s="6">
        <v>26.66</v>
      </c>
      <c r="BC888" s="6"/>
    </row>
    <row r="889" spans="32:55">
      <c r="AF889">
        <f t="shared" si="50"/>
        <v>0</v>
      </c>
      <c r="AG889" t="str">
        <f t="shared" si="51"/>
        <v>(CH₃)₂C₆H₁₀ (1,1-dimethylcyclohexan)</v>
      </c>
      <c r="AH889" t="s">
        <v>3119</v>
      </c>
      <c r="AI889" t="s">
        <v>3120</v>
      </c>
      <c r="AJ889" t="s">
        <v>3121</v>
      </c>
      <c r="AL889" t="s">
        <v>3122</v>
      </c>
      <c r="AS889" t="s">
        <v>3122</v>
      </c>
      <c r="AX889" s="6">
        <v>112.22</v>
      </c>
      <c r="AY889" s="6">
        <v>-181</v>
      </c>
      <c r="AZ889" s="6">
        <v>365.1</v>
      </c>
      <c r="BA889" s="6"/>
      <c r="BB889" s="6">
        <v>35.33</v>
      </c>
      <c r="BC889" s="6"/>
    </row>
    <row r="890" spans="32:55">
      <c r="AF890">
        <f t="shared" si="50"/>
        <v>0</v>
      </c>
      <c r="AG890" t="str">
        <f t="shared" si="51"/>
        <v>(CH₃)₂C₆H₁₀ (cis-1,2-dimethylcyclohexan)</v>
      </c>
      <c r="AH890" t="s">
        <v>3119</v>
      </c>
      <c r="AI890" t="s">
        <v>3120</v>
      </c>
      <c r="AJ890" t="s">
        <v>3121</v>
      </c>
      <c r="AL890" t="s">
        <v>3123</v>
      </c>
      <c r="AS890" t="s">
        <v>3123</v>
      </c>
      <c r="AX890" s="6">
        <v>112.22</v>
      </c>
      <c r="AY890" s="6">
        <v>-172.17</v>
      </c>
      <c r="AZ890" s="6">
        <v>374.6</v>
      </c>
      <c r="BA890" s="6"/>
      <c r="BB890" s="6">
        <v>41.31</v>
      </c>
      <c r="BC890" s="6"/>
    </row>
    <row r="891" spans="32:55">
      <c r="AF891">
        <f t="shared" si="50"/>
        <v>0</v>
      </c>
      <c r="AG891" t="str">
        <f t="shared" si="51"/>
        <v>(CH₃)₂C₆H₁₀ (trans-1,2-dimethylcyclohexan)</v>
      </c>
      <c r="AH891" t="s">
        <v>3119</v>
      </c>
      <c r="AI891" t="s">
        <v>3120</v>
      </c>
      <c r="AJ891" t="s">
        <v>3121</v>
      </c>
      <c r="AL891" t="s">
        <v>3124</v>
      </c>
      <c r="AS891" t="s">
        <v>3124</v>
      </c>
      <c r="AX891" s="6">
        <v>112.22</v>
      </c>
      <c r="AY891" s="6">
        <v>-180</v>
      </c>
      <c r="AZ891" s="6">
        <v>371</v>
      </c>
      <c r="BA891" s="6"/>
      <c r="BB891" s="6">
        <v>34.58</v>
      </c>
      <c r="BC891" s="6"/>
    </row>
    <row r="892" spans="32:55">
      <c r="AF892">
        <f t="shared" si="50"/>
        <v>0</v>
      </c>
      <c r="AG892" t="str">
        <f t="shared" si="51"/>
        <v>(CH₃)₂C₆H₁₀ (cis-1,3-dimethylcyclohexan)</v>
      </c>
      <c r="AH892" t="s">
        <v>3119</v>
      </c>
      <c r="AI892" t="s">
        <v>3120</v>
      </c>
      <c r="AJ892" t="s">
        <v>3121</v>
      </c>
      <c r="AL892" t="s">
        <v>3125</v>
      </c>
      <c r="AS892" t="s">
        <v>3125</v>
      </c>
      <c r="AX892" s="6">
        <v>112.22</v>
      </c>
      <c r="AY892" s="6">
        <v>-184.77</v>
      </c>
      <c r="AZ892" s="6">
        <v>370.6</v>
      </c>
      <c r="BA892" s="6"/>
      <c r="BB892" s="6">
        <v>29.93</v>
      </c>
      <c r="BC892" s="6"/>
    </row>
    <row r="893" spans="32:55">
      <c r="AF893">
        <f t="shared" si="50"/>
        <v>0</v>
      </c>
      <c r="AG893" t="str">
        <f t="shared" si="51"/>
        <v>(CH₃)₂C₆H₁₀ (trans-1,3-dimethylcyclohexan)</v>
      </c>
      <c r="AH893" t="s">
        <v>3119</v>
      </c>
      <c r="AI893" t="s">
        <v>3120</v>
      </c>
      <c r="AJ893" t="s">
        <v>3121</v>
      </c>
      <c r="AL893" t="s">
        <v>3126</v>
      </c>
      <c r="AS893" t="s">
        <v>3126</v>
      </c>
      <c r="AX893" s="6">
        <v>112.22</v>
      </c>
      <c r="AY893" s="6">
        <v>-176.56</v>
      </c>
      <c r="AZ893" s="6">
        <v>376.3</v>
      </c>
      <c r="BA893" s="6"/>
      <c r="BB893" s="6">
        <v>36.42</v>
      </c>
      <c r="BC893" s="6"/>
    </row>
    <row r="894" spans="32:55">
      <c r="AF894">
        <f t="shared" si="50"/>
        <v>0</v>
      </c>
      <c r="AG894" t="str">
        <f t="shared" si="51"/>
        <v>(CH₃)₂C₆H₁₀ (cis-1,4-dimethylcyclohexan)</v>
      </c>
      <c r="AH894" t="s">
        <v>3119</v>
      </c>
      <c r="AI894" t="s">
        <v>3120</v>
      </c>
      <c r="AJ894" t="s">
        <v>3121</v>
      </c>
      <c r="AL894" t="s">
        <v>3127</v>
      </c>
      <c r="AS894" t="s">
        <v>3127</v>
      </c>
      <c r="AX894" s="6">
        <v>112.22</v>
      </c>
      <c r="AY894" s="6">
        <v>-176.65</v>
      </c>
      <c r="AZ894" s="6">
        <v>370.6</v>
      </c>
      <c r="BA894" s="6"/>
      <c r="BB894" s="6">
        <v>38.049999999999997</v>
      </c>
      <c r="BC894" s="6"/>
    </row>
    <row r="895" spans="32:55">
      <c r="AF895">
        <f t="shared" si="50"/>
        <v>0</v>
      </c>
      <c r="AG895" t="str">
        <f t="shared" si="51"/>
        <v>(CH₃)₂C₆H₁₀ (trans-1,4-dimethylcyclohexan)</v>
      </c>
      <c r="AH895" t="s">
        <v>3119</v>
      </c>
      <c r="AI895" t="s">
        <v>3120</v>
      </c>
      <c r="AJ895" t="s">
        <v>3121</v>
      </c>
      <c r="AL895" t="s">
        <v>3128</v>
      </c>
      <c r="AS895" t="s">
        <v>3128</v>
      </c>
      <c r="AX895" s="6">
        <v>112.22</v>
      </c>
      <c r="AY895" s="6">
        <v>-184.6</v>
      </c>
      <c r="AZ895" s="6">
        <v>364.9</v>
      </c>
      <c r="BA895" s="6"/>
      <c r="BB895" s="6">
        <v>31.81</v>
      </c>
      <c r="BC895" s="6"/>
    </row>
    <row r="896" spans="32:55">
      <c r="AF896">
        <f t="shared" si="50"/>
        <v>0</v>
      </c>
      <c r="AG896" t="str">
        <f t="shared" si="51"/>
        <v>CH₂=CH₂ (g)</v>
      </c>
      <c r="AH896" t="s">
        <v>3129</v>
      </c>
      <c r="AI896" t="s">
        <v>3130</v>
      </c>
      <c r="AJ896" t="s">
        <v>3130</v>
      </c>
      <c r="AK896" t="s">
        <v>3131</v>
      </c>
      <c r="AL896" t="s">
        <v>3132</v>
      </c>
      <c r="AS896" t="s">
        <v>47</v>
      </c>
      <c r="AX896" s="6">
        <v>28.05</v>
      </c>
      <c r="AY896" s="6">
        <v>52.3</v>
      </c>
      <c r="AZ896" s="6">
        <v>219.3</v>
      </c>
      <c r="BA896" s="6"/>
      <c r="BB896" s="6">
        <v>68.27</v>
      </c>
      <c r="BC896" s="6"/>
    </row>
    <row r="897" spans="32:55">
      <c r="AF897">
        <f t="shared" si="50"/>
        <v>0</v>
      </c>
      <c r="AG897" t="str">
        <f t="shared" si="51"/>
        <v>CH₂=CHCH₃ (g)</v>
      </c>
      <c r="AH897" t="s">
        <v>3133</v>
      </c>
      <c r="AI897" t="s">
        <v>3134</v>
      </c>
      <c r="AJ897" t="s">
        <v>3134</v>
      </c>
      <c r="AK897" t="s">
        <v>3135</v>
      </c>
      <c r="AL897" t="s">
        <v>3136</v>
      </c>
      <c r="AS897" t="s">
        <v>47</v>
      </c>
      <c r="AX897" s="6">
        <v>42.08</v>
      </c>
      <c r="AY897" s="6">
        <v>20.420000000000002</v>
      </c>
      <c r="AZ897" s="6">
        <v>266.7</v>
      </c>
      <c r="BA897" s="6"/>
      <c r="BB897" s="6">
        <v>62.84</v>
      </c>
      <c r="BC897" s="6"/>
    </row>
    <row r="898" spans="32:55">
      <c r="AF898">
        <f t="shared" si="50"/>
        <v>0</v>
      </c>
      <c r="AG898" t="str">
        <f t="shared" si="51"/>
        <v>CH₂=C=CH₂ (g)</v>
      </c>
      <c r="AH898" t="s">
        <v>3137</v>
      </c>
      <c r="AI898" t="s">
        <v>3138</v>
      </c>
      <c r="AJ898" t="s">
        <v>3138</v>
      </c>
      <c r="AK898" t="s">
        <v>3139</v>
      </c>
      <c r="AL898" t="s">
        <v>3140</v>
      </c>
      <c r="AS898" t="s">
        <v>47</v>
      </c>
      <c r="AX898" s="6">
        <v>40.07</v>
      </c>
      <c r="AY898" s="6">
        <v>192.13</v>
      </c>
      <c r="AZ898" s="6">
        <v>244</v>
      </c>
      <c r="BA898" s="6"/>
      <c r="BB898" s="6">
        <v>202.38</v>
      </c>
      <c r="BC898" s="6"/>
    </row>
    <row r="899" spans="32:55">
      <c r="AF899">
        <f t="shared" ref="AF899:AF962" si="52">IF(OR(AG899="",COUNTIF(AG:AG, AG899) = 1),0, "1")</f>
        <v>0</v>
      </c>
      <c r="AG899" t="str">
        <f t="shared" ref="AG899:AG962" si="53">IF(AS899 &lt;&gt; "",AH899&amp;" ("&amp;AS899 &amp;")","")</f>
        <v>C₃H₄ (g)</v>
      </c>
      <c r="AH899" t="s">
        <v>3141</v>
      </c>
      <c r="AI899" t="s">
        <v>3142</v>
      </c>
      <c r="AJ899" t="s">
        <v>3142</v>
      </c>
      <c r="AL899" t="s">
        <v>3143</v>
      </c>
      <c r="AS899" t="s">
        <v>47</v>
      </c>
      <c r="AX899" s="6">
        <v>40.07</v>
      </c>
      <c r="AY899" s="6">
        <v>276.14</v>
      </c>
      <c r="AZ899" s="6">
        <v>244.4</v>
      </c>
      <c r="BA899" s="6"/>
      <c r="BB899" s="6">
        <v>286.27</v>
      </c>
      <c r="BC899" s="6"/>
    </row>
    <row r="900" spans="32:55">
      <c r="AF900">
        <f t="shared" si="52"/>
        <v>0</v>
      </c>
      <c r="AG900" t="str">
        <f t="shared" si="53"/>
        <v>C₄H₆ (g)</v>
      </c>
      <c r="AH900" t="s">
        <v>3144</v>
      </c>
      <c r="AI900" t="s">
        <v>3145</v>
      </c>
      <c r="AJ900" t="s">
        <v>3145</v>
      </c>
      <c r="AL900" t="s">
        <v>3146</v>
      </c>
      <c r="AS900" t="s">
        <v>47</v>
      </c>
      <c r="AX900" s="6">
        <v>54.09</v>
      </c>
      <c r="AY900" s="6">
        <v>129.69999999999999</v>
      </c>
      <c r="AZ900" s="6">
        <v>263.60000000000002</v>
      </c>
      <c r="BA900" s="6"/>
      <c r="BB900" s="6">
        <v>174.74</v>
      </c>
      <c r="BC900" s="6"/>
    </row>
    <row r="901" spans="32:55">
      <c r="AF901">
        <f t="shared" si="52"/>
        <v>0</v>
      </c>
      <c r="AG901" t="str">
        <f t="shared" si="53"/>
        <v>CH₂=C=CHCH₃ (g)</v>
      </c>
      <c r="AH901" t="s">
        <v>3147</v>
      </c>
      <c r="AI901" t="s">
        <v>3148</v>
      </c>
      <c r="AJ901" t="s">
        <v>3148</v>
      </c>
      <c r="AL901" t="s">
        <v>3149</v>
      </c>
      <c r="AS901" t="s">
        <v>47</v>
      </c>
      <c r="AX901" s="6">
        <v>54.09</v>
      </c>
      <c r="AY901" s="6">
        <v>162.21</v>
      </c>
      <c r="AZ901" s="6">
        <v>293.10000000000002</v>
      </c>
      <c r="BA901" s="6"/>
      <c r="BB901" s="6">
        <v>198.47</v>
      </c>
      <c r="BC901" s="6"/>
    </row>
    <row r="902" spans="32:55">
      <c r="AF902">
        <f t="shared" si="52"/>
        <v>0</v>
      </c>
      <c r="AG902" t="str">
        <f t="shared" si="53"/>
        <v>CH₂=CHCH=CH₂ (g)</v>
      </c>
      <c r="AH902" t="s">
        <v>3150</v>
      </c>
      <c r="AI902" t="s">
        <v>3151</v>
      </c>
      <c r="AJ902" t="s">
        <v>3151</v>
      </c>
      <c r="AL902" t="s">
        <v>3152</v>
      </c>
      <c r="AS902" t="s">
        <v>47</v>
      </c>
      <c r="AX902" s="6">
        <v>54.09</v>
      </c>
      <c r="AY902" s="6">
        <v>110.16</v>
      </c>
      <c r="AZ902" s="6">
        <v>278.8</v>
      </c>
      <c r="BA902" s="6"/>
      <c r="BB902" s="6">
        <v>150.69</v>
      </c>
      <c r="BC902" s="6"/>
    </row>
    <row r="903" spans="32:55">
      <c r="AF903">
        <f t="shared" si="52"/>
        <v>0</v>
      </c>
      <c r="AG903" t="str">
        <f t="shared" si="53"/>
        <v>CH₂=CHCH₂CH₃ (g)</v>
      </c>
      <c r="AH903" t="s">
        <v>3153</v>
      </c>
      <c r="AI903" t="s">
        <v>3154</v>
      </c>
      <c r="AJ903" t="s">
        <v>3154</v>
      </c>
      <c r="AL903" t="s">
        <v>3155</v>
      </c>
      <c r="AS903" t="s">
        <v>47</v>
      </c>
      <c r="AX903" s="6">
        <v>56.12</v>
      </c>
      <c r="AY903" s="6">
        <v>-0.13</v>
      </c>
      <c r="AZ903" s="6">
        <v>305.7</v>
      </c>
      <c r="BA903" s="6"/>
      <c r="BB903" s="6">
        <v>71.33</v>
      </c>
      <c r="BC903" s="6"/>
    </row>
    <row r="904" spans="32:55">
      <c r="AF904">
        <f t="shared" si="52"/>
        <v>0</v>
      </c>
      <c r="AG904" t="str">
        <f t="shared" si="53"/>
        <v>CH₃CH=CHCH₃ (g,Z)</v>
      </c>
      <c r="AH904" t="s">
        <v>3156</v>
      </c>
      <c r="AI904" t="s">
        <v>3157</v>
      </c>
      <c r="AJ904" t="s">
        <v>3157</v>
      </c>
      <c r="AL904" t="s">
        <v>3158</v>
      </c>
      <c r="AS904" t="s">
        <v>5797</v>
      </c>
      <c r="AX904" s="6">
        <v>56.12</v>
      </c>
      <c r="AY904" s="6">
        <v>-6.99</v>
      </c>
      <c r="AZ904" s="6">
        <v>300.89999999999998</v>
      </c>
      <c r="BA904" s="6"/>
      <c r="BB904" s="6">
        <v>65.89</v>
      </c>
      <c r="BC904" s="6"/>
    </row>
    <row r="905" spans="32:55">
      <c r="AF905">
        <f t="shared" si="52"/>
        <v>0</v>
      </c>
      <c r="AG905" t="str">
        <f t="shared" si="53"/>
        <v>CH₃CH=CHCH₃ (g,E)</v>
      </c>
      <c r="AH905" t="s">
        <v>3156</v>
      </c>
      <c r="AI905" t="s">
        <v>3157</v>
      </c>
      <c r="AJ905" t="s">
        <v>3157</v>
      </c>
      <c r="AL905" t="s">
        <v>3159</v>
      </c>
      <c r="AS905" t="s">
        <v>5798</v>
      </c>
      <c r="AX905" s="6">
        <v>56.12</v>
      </c>
      <c r="AY905" s="6">
        <v>-11.17</v>
      </c>
      <c r="AZ905" s="6">
        <v>296.60000000000002</v>
      </c>
      <c r="BA905" s="6"/>
      <c r="BB905" s="6">
        <v>63</v>
      </c>
      <c r="BC905" s="6"/>
    </row>
    <row r="906" spans="32:55">
      <c r="AF906">
        <f t="shared" si="52"/>
        <v>0</v>
      </c>
      <c r="AG906" t="str">
        <f t="shared" si="53"/>
        <v>CH₂=C(CH₃)CH=CH₂ (g)</v>
      </c>
      <c r="AH906" t="s">
        <v>3160</v>
      </c>
      <c r="AI906" t="s">
        <v>3161</v>
      </c>
      <c r="AJ906" t="s">
        <v>3162</v>
      </c>
      <c r="AK906" t="s">
        <v>3163</v>
      </c>
      <c r="AL906" t="s">
        <v>3164</v>
      </c>
      <c r="AS906" t="s">
        <v>47</v>
      </c>
      <c r="AX906" s="6">
        <v>68.12</v>
      </c>
      <c r="AY906" s="6">
        <v>75.73</v>
      </c>
      <c r="AZ906" s="6">
        <v>315.7</v>
      </c>
      <c r="BA906" s="6"/>
      <c r="BB906" s="6">
        <v>145.88</v>
      </c>
      <c r="BC906" s="6"/>
    </row>
    <row r="907" spans="32:55">
      <c r="AF907">
        <f t="shared" si="52"/>
        <v>0</v>
      </c>
      <c r="AG907" t="str">
        <f t="shared" si="53"/>
        <v>CH₂=C=C(CH₃)₂ (g)</v>
      </c>
      <c r="AH907" t="s">
        <v>3165</v>
      </c>
      <c r="AI907" t="s">
        <v>3166</v>
      </c>
      <c r="AJ907" t="s">
        <v>3167</v>
      </c>
      <c r="AL907" t="s">
        <v>3168</v>
      </c>
      <c r="AS907" t="s">
        <v>47</v>
      </c>
      <c r="AX907" s="6">
        <v>68.12</v>
      </c>
      <c r="AY907" s="6">
        <v>129.69999999999999</v>
      </c>
      <c r="AZ907" s="6">
        <v>319.8</v>
      </c>
      <c r="BA907" s="6"/>
      <c r="BB907" s="6">
        <v>198.64</v>
      </c>
      <c r="BC907" s="6"/>
    </row>
    <row r="908" spans="32:55">
      <c r="AF908">
        <f t="shared" si="52"/>
        <v>0</v>
      </c>
      <c r="AG908" t="str">
        <f t="shared" si="53"/>
        <v>CH₂=CH(CH₂)₂CH₃ (l)</v>
      </c>
      <c r="AH908" t="s">
        <v>3169</v>
      </c>
      <c r="AI908" t="s">
        <v>3170</v>
      </c>
      <c r="AJ908" t="s">
        <v>3171</v>
      </c>
      <c r="AL908" t="s">
        <v>3172</v>
      </c>
      <c r="AS908" t="s">
        <v>239</v>
      </c>
      <c r="AX908" s="6">
        <v>70.14</v>
      </c>
      <c r="AY908" s="6">
        <v>-20.92</v>
      </c>
      <c r="AZ908" s="6">
        <v>345.9</v>
      </c>
      <c r="BA908" s="6"/>
      <c r="BB908" s="6">
        <v>79.2</v>
      </c>
      <c r="BC908" s="6"/>
    </row>
    <row r="909" spans="32:55">
      <c r="AF909">
        <f t="shared" si="52"/>
        <v>0</v>
      </c>
      <c r="AG909" t="str">
        <f t="shared" si="53"/>
        <v/>
      </c>
      <c r="AH909" t="s">
        <v>3173</v>
      </c>
      <c r="AI909" t="s">
        <v>3174</v>
      </c>
      <c r="AJ909" t="s">
        <v>3174</v>
      </c>
      <c r="AL909" t="s">
        <v>3175</v>
      </c>
      <c r="AS909" t="s">
        <v>220</v>
      </c>
      <c r="AX909" s="6">
        <v>80.14</v>
      </c>
      <c r="AY909" s="6" t="s">
        <v>168</v>
      </c>
      <c r="AZ909" s="6" t="s">
        <v>168</v>
      </c>
      <c r="BA909" s="6"/>
      <c r="BB909" s="6" t="s">
        <v>168</v>
      </c>
      <c r="BC909" s="6"/>
    </row>
    <row r="910" spans="32:55">
      <c r="AF910">
        <f t="shared" si="52"/>
        <v>0</v>
      </c>
      <c r="AG910" t="str">
        <f t="shared" si="53"/>
        <v/>
      </c>
      <c r="AH910" t="s">
        <v>3173</v>
      </c>
      <c r="AI910" t="s">
        <v>3174</v>
      </c>
      <c r="AJ910" t="s">
        <v>3174</v>
      </c>
      <c r="AL910" t="s">
        <v>3176</v>
      </c>
      <c r="AS910" t="s">
        <v>220</v>
      </c>
      <c r="AX910" s="6">
        <v>80.14</v>
      </c>
      <c r="AY910" s="6" t="s">
        <v>168</v>
      </c>
      <c r="AZ910" s="6" t="s">
        <v>168</v>
      </c>
      <c r="BA910" s="6"/>
      <c r="BB910" s="6" t="s">
        <v>168</v>
      </c>
      <c r="BC910" s="6"/>
    </row>
    <row r="911" spans="32:55">
      <c r="AF911">
        <f t="shared" si="52"/>
        <v>0</v>
      </c>
      <c r="AG911" t="str">
        <f t="shared" si="53"/>
        <v>C₆H₁₀ (l)</v>
      </c>
      <c r="AH911" t="s">
        <v>3177</v>
      </c>
      <c r="AI911" t="s">
        <v>3178</v>
      </c>
      <c r="AJ911" t="s">
        <v>3178</v>
      </c>
      <c r="AL911" t="s">
        <v>3179</v>
      </c>
      <c r="AS911" t="s">
        <v>239</v>
      </c>
      <c r="AX911" s="6">
        <v>82.15</v>
      </c>
      <c r="AY911" s="6">
        <v>-38.83</v>
      </c>
      <c r="AZ911" s="6">
        <v>216.2</v>
      </c>
      <c r="BA911" s="6"/>
      <c r="BB911" s="6">
        <v>101.67</v>
      </c>
      <c r="BC911" s="6"/>
    </row>
    <row r="912" spans="32:55">
      <c r="AF912">
        <f t="shared" si="52"/>
        <v>0</v>
      </c>
      <c r="AG912" t="str">
        <f t="shared" si="53"/>
        <v>C₆H₁₀ (g)</v>
      </c>
      <c r="AH912" t="s">
        <v>3177</v>
      </c>
      <c r="AI912" t="s">
        <v>3178</v>
      </c>
      <c r="AJ912" t="s">
        <v>3178</v>
      </c>
      <c r="AL912" t="s">
        <v>3179</v>
      </c>
      <c r="AS912" t="s">
        <v>47</v>
      </c>
      <c r="AX912" s="6">
        <v>82.15</v>
      </c>
      <c r="AY912" s="6">
        <v>-5.36</v>
      </c>
      <c r="AZ912" s="6">
        <v>310.8</v>
      </c>
      <c r="BA912" s="6"/>
      <c r="BB912" s="6">
        <v>106.91</v>
      </c>
      <c r="BC912" s="6"/>
    </row>
    <row r="913" spans="32:55">
      <c r="AF913">
        <f t="shared" si="52"/>
        <v>0</v>
      </c>
      <c r="AG913" t="str">
        <f t="shared" si="53"/>
        <v>C₁₀H₁₆ (l,alfa)</v>
      </c>
      <c r="AH913" t="s">
        <v>3180</v>
      </c>
      <c r="AI913" t="s">
        <v>3181</v>
      </c>
      <c r="AJ913" t="s">
        <v>3181</v>
      </c>
      <c r="AL913" t="s">
        <v>3182</v>
      </c>
      <c r="AS913" t="s">
        <v>5799</v>
      </c>
      <c r="AX913" s="6">
        <v>136.24</v>
      </c>
      <c r="AY913" s="6">
        <v>-16.32</v>
      </c>
      <c r="AZ913" s="6" t="s">
        <v>168</v>
      </c>
      <c r="BA913" s="6"/>
      <c r="BB913" s="6" t="s">
        <v>168</v>
      </c>
      <c r="BC913" s="6"/>
    </row>
    <row r="914" spans="32:55">
      <c r="AF914">
        <f t="shared" si="52"/>
        <v>0</v>
      </c>
      <c r="AG914" t="str">
        <f t="shared" si="53"/>
        <v>C₁₀H₁₆ (l,beta)</v>
      </c>
      <c r="AH914" t="s">
        <v>3180</v>
      </c>
      <c r="AI914" t="s">
        <v>3181</v>
      </c>
      <c r="AJ914" t="s">
        <v>3181</v>
      </c>
      <c r="AL914" t="s">
        <v>3183</v>
      </c>
      <c r="AS914" t="s">
        <v>5800</v>
      </c>
      <c r="AX914" s="6">
        <v>136.24</v>
      </c>
      <c r="AY914" s="6">
        <v>-7.53</v>
      </c>
      <c r="AZ914" s="6" t="s">
        <v>168</v>
      </c>
      <c r="BA914" s="6"/>
      <c r="BB914" s="6" t="s">
        <v>168</v>
      </c>
      <c r="BC914" s="6"/>
    </row>
    <row r="915" spans="32:55">
      <c r="AF915">
        <f t="shared" si="52"/>
        <v>0</v>
      </c>
      <c r="AG915" t="str">
        <f t="shared" si="53"/>
        <v/>
      </c>
      <c r="AH915" t="s">
        <v>3184</v>
      </c>
      <c r="AI915" t="s">
        <v>3185</v>
      </c>
      <c r="AJ915" t="s">
        <v>3185</v>
      </c>
      <c r="AL915" t="s">
        <v>3186</v>
      </c>
      <c r="AS915" t="s">
        <v>220</v>
      </c>
      <c r="AX915" s="6">
        <v>536.85</v>
      </c>
      <c r="AY915" s="6"/>
      <c r="AZ915" s="6"/>
      <c r="BA915" s="6"/>
      <c r="BB915" s="6" t="s">
        <v>168</v>
      </c>
      <c r="BC915" s="6"/>
    </row>
    <row r="916" spans="32:55">
      <c r="AF916">
        <f t="shared" si="52"/>
        <v>0</v>
      </c>
      <c r="AG916" t="str">
        <f t="shared" si="53"/>
        <v>C₂H₂ (g)</v>
      </c>
      <c r="AH916" t="s">
        <v>3187</v>
      </c>
      <c r="AI916" t="s">
        <v>3188</v>
      </c>
      <c r="AJ916" t="s">
        <v>3188</v>
      </c>
      <c r="AK916" t="s">
        <v>3189</v>
      </c>
      <c r="AL916" t="s">
        <v>3190</v>
      </c>
      <c r="AS916" t="s">
        <v>47</v>
      </c>
      <c r="AX916" s="6">
        <v>26.04</v>
      </c>
      <c r="AY916" s="6" t="s">
        <v>3191</v>
      </c>
      <c r="AZ916" s="6">
        <v>200.9</v>
      </c>
      <c r="BA916" s="6"/>
      <c r="BB916" s="6">
        <v>209.9</v>
      </c>
    </row>
    <row r="917" spans="32:55">
      <c r="AF917">
        <f t="shared" si="52"/>
        <v>0</v>
      </c>
      <c r="AG917" t="str">
        <f t="shared" si="53"/>
        <v>HC≡CH (aq)</v>
      </c>
      <c r="AH917" t="s">
        <v>3192</v>
      </c>
      <c r="AI917" t="s">
        <v>3192</v>
      </c>
      <c r="AJ917" t="s">
        <v>3192</v>
      </c>
      <c r="AL917" t="s">
        <v>3190</v>
      </c>
      <c r="AS917" t="s">
        <v>48</v>
      </c>
      <c r="AX917" s="6">
        <v>26.04</v>
      </c>
      <c r="AY917" s="6" t="s">
        <v>3193</v>
      </c>
      <c r="AZ917" s="6">
        <v>123.4</v>
      </c>
      <c r="BA917" s="6"/>
      <c r="BB917" s="6">
        <v>217.06</v>
      </c>
    </row>
    <row r="918" spans="32:55">
      <c r="AF918">
        <f t="shared" si="52"/>
        <v>0</v>
      </c>
      <c r="AG918" t="str">
        <f t="shared" si="53"/>
        <v>HC≡CCH₃ (g)</v>
      </c>
      <c r="AH918" t="s">
        <v>3194</v>
      </c>
      <c r="AI918" t="s">
        <v>3195</v>
      </c>
      <c r="AJ918" t="s">
        <v>3195</v>
      </c>
      <c r="AL918" t="s">
        <v>3196</v>
      </c>
      <c r="AS918" t="s">
        <v>47</v>
      </c>
      <c r="AX918" s="6">
        <v>40.07</v>
      </c>
      <c r="AY918" s="6" t="s">
        <v>3197</v>
      </c>
      <c r="AZ918" s="6">
        <v>248.2</v>
      </c>
      <c r="BA918" s="6"/>
      <c r="BB918" s="6">
        <v>194.43</v>
      </c>
    </row>
    <row r="919" spans="32:55">
      <c r="AF919">
        <f t="shared" si="52"/>
        <v>0</v>
      </c>
      <c r="AG919" t="str">
        <f t="shared" si="53"/>
        <v>HC≡CCH₂CH₃ (g)</v>
      </c>
      <c r="AH919" t="s">
        <v>3198</v>
      </c>
      <c r="AI919" t="s">
        <v>3199</v>
      </c>
      <c r="AJ919" t="s">
        <v>3199</v>
      </c>
      <c r="AL919" t="s">
        <v>3200</v>
      </c>
      <c r="AS919" t="s">
        <v>47</v>
      </c>
      <c r="AX919" s="6">
        <v>54.09</v>
      </c>
      <c r="AY919" s="6" t="s">
        <v>3201</v>
      </c>
      <c r="AZ919" s="6">
        <v>290.89999999999998</v>
      </c>
      <c r="BA919" s="6"/>
      <c r="BB919" s="6">
        <v>202.11</v>
      </c>
    </row>
    <row r="920" spans="32:55">
      <c r="AF920">
        <f t="shared" si="52"/>
        <v>0</v>
      </c>
      <c r="AG920" t="str">
        <f t="shared" si="53"/>
        <v>CH₃C≡CCH₃ (g)</v>
      </c>
      <c r="AH920" t="s">
        <v>3202</v>
      </c>
      <c r="AI920" t="s">
        <v>3203</v>
      </c>
      <c r="AJ920" t="s">
        <v>3203</v>
      </c>
      <c r="AL920" t="s">
        <v>3204</v>
      </c>
      <c r="AS920" t="s">
        <v>47</v>
      </c>
      <c r="AX920" s="6">
        <v>54.09</v>
      </c>
      <c r="AY920" s="6" t="s">
        <v>3205</v>
      </c>
      <c r="AZ920" s="6">
        <v>283.39999999999998</v>
      </c>
      <c r="BA920" s="6"/>
      <c r="BB920" s="6">
        <v>185.45</v>
      </c>
    </row>
    <row r="921" spans="32:55">
      <c r="AF921">
        <f t="shared" si="52"/>
        <v>0</v>
      </c>
      <c r="AG921" t="str">
        <f t="shared" si="53"/>
        <v>HC≡C-C≡CH (g)</v>
      </c>
      <c r="AH921" t="s">
        <v>3206</v>
      </c>
      <c r="AI921" t="s">
        <v>3206</v>
      </c>
      <c r="AJ921" t="s">
        <v>3206</v>
      </c>
      <c r="AL921" t="s">
        <v>3207</v>
      </c>
      <c r="AS921" t="s">
        <v>47</v>
      </c>
      <c r="AX921" s="6">
        <v>50.06</v>
      </c>
      <c r="AY921" s="6" t="s">
        <v>3208</v>
      </c>
      <c r="AZ921" s="6">
        <v>283.39999999999998</v>
      </c>
      <c r="BA921" s="6"/>
      <c r="BB921" s="6">
        <v>185.45</v>
      </c>
    </row>
    <row r="922" spans="32:55">
      <c r="AF922">
        <f t="shared" si="52"/>
        <v>0</v>
      </c>
      <c r="AG922" t="str">
        <f t="shared" si="53"/>
        <v>HC≡C(CH₂)₂CH₃ (g)</v>
      </c>
      <c r="AH922" t="s">
        <v>3209</v>
      </c>
      <c r="AI922" t="s">
        <v>3210</v>
      </c>
      <c r="AJ922" t="s">
        <v>3211</v>
      </c>
      <c r="AL922" t="s">
        <v>3212</v>
      </c>
      <c r="AS922" t="s">
        <v>47</v>
      </c>
      <c r="AX922" s="6">
        <v>68.11</v>
      </c>
      <c r="AY922" s="6" t="s">
        <v>3213</v>
      </c>
      <c r="AZ922" s="6">
        <v>329.9</v>
      </c>
      <c r="BA922" s="6"/>
      <c r="BB922" s="6">
        <v>210.28</v>
      </c>
    </row>
    <row r="923" spans="32:55">
      <c r="AF923">
        <f t="shared" si="52"/>
        <v>0</v>
      </c>
      <c r="AG923" t="str">
        <f t="shared" si="53"/>
        <v>C₆H₆ (l)</v>
      </c>
      <c r="AH923" t="s">
        <v>3214</v>
      </c>
      <c r="AI923" t="s">
        <v>3215</v>
      </c>
      <c r="AJ923" t="s">
        <v>3215</v>
      </c>
      <c r="AL923" t="s">
        <v>3216</v>
      </c>
      <c r="AS923" t="s">
        <v>239</v>
      </c>
      <c r="AX923" s="6">
        <v>78.12</v>
      </c>
      <c r="AY923" s="6" t="s">
        <v>3217</v>
      </c>
      <c r="AZ923" s="6">
        <v>173.4</v>
      </c>
      <c r="BA923" s="6"/>
      <c r="BB923" s="6">
        <v>124.5</v>
      </c>
    </row>
    <row r="924" spans="32:55">
      <c r="AF924">
        <f t="shared" si="52"/>
        <v>0</v>
      </c>
      <c r="AG924" t="str">
        <f t="shared" si="53"/>
        <v>C₆H₆ (g)</v>
      </c>
      <c r="AH924" t="s">
        <v>3214</v>
      </c>
      <c r="AI924" t="s">
        <v>3215</v>
      </c>
      <c r="AJ924" t="s">
        <v>3215</v>
      </c>
      <c r="AL924" t="s">
        <v>3216</v>
      </c>
      <c r="AS924" t="s">
        <v>47</v>
      </c>
      <c r="AX924" s="6">
        <v>78.12</v>
      </c>
      <c r="AY924" s="6" t="s">
        <v>3218</v>
      </c>
      <c r="AZ924" s="6">
        <v>269.2</v>
      </c>
      <c r="BA924" s="6"/>
      <c r="BB924" s="6">
        <v>129.69999999999999</v>
      </c>
    </row>
    <row r="925" spans="32:55">
      <c r="AF925">
        <f t="shared" si="52"/>
        <v>0</v>
      </c>
      <c r="AG925" t="str">
        <f t="shared" si="53"/>
        <v>C₁₀H₈ (s)</v>
      </c>
      <c r="AH925" t="s">
        <v>3219</v>
      </c>
      <c r="AI925" t="s">
        <v>3220</v>
      </c>
      <c r="AJ925" t="s">
        <v>3220</v>
      </c>
      <c r="AL925" t="s">
        <v>3221</v>
      </c>
      <c r="AS925" t="s">
        <v>160</v>
      </c>
      <c r="AX925" s="6">
        <v>128.19</v>
      </c>
      <c r="AY925" s="6" t="s">
        <v>3222</v>
      </c>
      <c r="AZ925" s="6">
        <v>167.4</v>
      </c>
      <c r="BA925" s="6"/>
      <c r="BB925" s="6">
        <v>201.6</v>
      </c>
    </row>
    <row r="926" spans="32:55">
      <c r="AF926">
        <f t="shared" si="52"/>
        <v>0</v>
      </c>
      <c r="AG926" t="str">
        <f t="shared" si="53"/>
        <v>C₁₀H₈ (g)</v>
      </c>
      <c r="AH926" t="s">
        <v>3219</v>
      </c>
      <c r="AI926" t="s">
        <v>3220</v>
      </c>
      <c r="AJ926" t="s">
        <v>3220</v>
      </c>
      <c r="AL926" t="s">
        <v>3221</v>
      </c>
      <c r="AS926" t="s">
        <v>47</v>
      </c>
      <c r="AX926" s="6">
        <v>128.19</v>
      </c>
      <c r="AY926" s="6" t="s">
        <v>837</v>
      </c>
      <c r="AZ926" s="6">
        <v>333.1</v>
      </c>
      <c r="BA926" s="6"/>
      <c r="BB926" s="6">
        <v>224.1</v>
      </c>
    </row>
    <row r="927" spans="32:55">
      <c r="AF927">
        <f t="shared" si="52"/>
        <v>0</v>
      </c>
      <c r="AG927" t="str">
        <f t="shared" si="53"/>
        <v>C₁₄H₁₀ (s)</v>
      </c>
      <c r="AH927" t="s">
        <v>3223</v>
      </c>
      <c r="AI927" t="s">
        <v>3224</v>
      </c>
      <c r="AJ927" t="s">
        <v>3224</v>
      </c>
      <c r="AL927" t="s">
        <v>3225</v>
      </c>
      <c r="AS927" t="s">
        <v>160</v>
      </c>
      <c r="AX927" s="6">
        <v>178.23</v>
      </c>
      <c r="AY927" s="6" t="s">
        <v>3226</v>
      </c>
      <c r="AZ927" s="6">
        <v>207.5</v>
      </c>
      <c r="BA927" s="6"/>
      <c r="BB927" s="6">
        <v>285.83999999999997</v>
      </c>
    </row>
    <row r="928" spans="32:55">
      <c r="AF928">
        <f t="shared" si="52"/>
        <v>0</v>
      </c>
      <c r="AG928" t="str">
        <f t="shared" si="53"/>
        <v>C₁₄H₁₀ (s,phenanthren)</v>
      </c>
      <c r="AH928" t="s">
        <v>3223</v>
      </c>
      <c r="AI928" t="s">
        <v>3224</v>
      </c>
      <c r="AJ928" t="s">
        <v>3224</v>
      </c>
      <c r="AL928" t="s">
        <v>3227</v>
      </c>
      <c r="AS928" t="s">
        <v>5805</v>
      </c>
      <c r="AX928" s="6">
        <v>178.23</v>
      </c>
      <c r="AY928" s="6" t="s">
        <v>3228</v>
      </c>
      <c r="AZ928" s="6">
        <v>215.1</v>
      </c>
      <c r="BA928" s="6"/>
      <c r="BB928" s="6">
        <v>268.36</v>
      </c>
    </row>
    <row r="929" spans="32:55">
      <c r="AF929">
        <f t="shared" si="52"/>
        <v>0</v>
      </c>
      <c r="AG929" t="str">
        <f t="shared" si="53"/>
        <v>C₁₈H₁₂ (s)</v>
      </c>
      <c r="AH929" t="s">
        <v>3229</v>
      </c>
      <c r="AI929" t="s">
        <v>3230</v>
      </c>
      <c r="AJ929" t="s">
        <v>3230</v>
      </c>
      <c r="AL929" t="s">
        <v>3231</v>
      </c>
      <c r="AS929" t="s">
        <v>160</v>
      </c>
      <c r="AX929" s="6">
        <v>228.29</v>
      </c>
      <c r="AY929" s="6" t="s">
        <v>3232</v>
      </c>
      <c r="AZ929" s="6" t="s">
        <v>168</v>
      </c>
      <c r="BA929" s="6"/>
      <c r="BB929" s="6" t="s">
        <v>168</v>
      </c>
      <c r="BC929" s="6"/>
    </row>
    <row r="930" spans="32:55">
      <c r="AF930">
        <f t="shared" si="52"/>
        <v>0</v>
      </c>
      <c r="AG930" t="str">
        <f t="shared" si="53"/>
        <v>C₂₀H₁₂ (g)</v>
      </c>
      <c r="AH930" t="s">
        <v>3233</v>
      </c>
      <c r="AI930" t="s">
        <v>3234</v>
      </c>
      <c r="AJ930" t="s">
        <v>3234</v>
      </c>
      <c r="AL930" t="s">
        <v>3235</v>
      </c>
      <c r="AS930" t="s">
        <v>47</v>
      </c>
      <c r="AX930" s="6">
        <v>252.32</v>
      </c>
      <c r="AY930" s="6" t="s">
        <v>168</v>
      </c>
      <c r="AZ930" s="6" t="s">
        <v>168</v>
      </c>
      <c r="BA930" s="6"/>
      <c r="BB930" s="6" t="s">
        <v>168</v>
      </c>
      <c r="BC930" s="6"/>
    </row>
    <row r="931" spans="32:55">
      <c r="AF931">
        <f t="shared" si="52"/>
        <v>0</v>
      </c>
      <c r="AG931" t="str">
        <f t="shared" si="53"/>
        <v>C₆H₅CH₃ (l)</v>
      </c>
      <c r="AH931" t="s">
        <v>3236</v>
      </c>
      <c r="AI931" t="s">
        <v>3237</v>
      </c>
      <c r="AJ931" t="s">
        <v>3237</v>
      </c>
      <c r="AK931" t="s">
        <v>3238</v>
      </c>
      <c r="AL931" t="s">
        <v>3239</v>
      </c>
      <c r="AS931" t="s">
        <v>239</v>
      </c>
      <c r="AX931" s="6">
        <v>92.15</v>
      </c>
      <c r="AY931" s="6" t="s">
        <v>3240</v>
      </c>
      <c r="AZ931" s="6">
        <v>221</v>
      </c>
      <c r="BA931" s="6"/>
      <c r="BB931" s="6">
        <v>113.83</v>
      </c>
    </row>
    <row r="932" spans="32:55">
      <c r="AF932">
        <f t="shared" si="52"/>
        <v>0</v>
      </c>
      <c r="AG932" t="str">
        <f t="shared" si="53"/>
        <v>C₆H₅CH₃ (g)</v>
      </c>
      <c r="AH932" t="s">
        <v>3236</v>
      </c>
      <c r="AI932" t="s">
        <v>3237</v>
      </c>
      <c r="AJ932" t="s">
        <v>3237</v>
      </c>
      <c r="AL932" t="s">
        <v>3239</v>
      </c>
      <c r="AS932" t="s">
        <v>47</v>
      </c>
      <c r="AX932" s="6">
        <v>92.15</v>
      </c>
      <c r="AY932" s="6" t="s">
        <v>3241</v>
      </c>
      <c r="AZ932" s="6">
        <v>320.8</v>
      </c>
      <c r="BA932" s="6"/>
      <c r="BB932" s="6">
        <v>122.04</v>
      </c>
    </row>
    <row r="933" spans="32:55">
      <c r="AF933">
        <f t="shared" si="52"/>
        <v>0</v>
      </c>
      <c r="AG933" t="str">
        <f t="shared" si="53"/>
        <v>C₆H₅CH=CH₂ (l)</v>
      </c>
      <c r="AH933" t="s">
        <v>3242</v>
      </c>
      <c r="AI933" t="s">
        <v>3243</v>
      </c>
      <c r="AJ933" t="s">
        <v>3243</v>
      </c>
      <c r="AK933" t="s">
        <v>3244</v>
      </c>
      <c r="AL933" t="s">
        <v>3245</v>
      </c>
      <c r="AS933" t="s">
        <v>239</v>
      </c>
      <c r="AX933" s="6">
        <v>104.16</v>
      </c>
      <c r="AY933" s="6" t="s">
        <v>3246</v>
      </c>
      <c r="AZ933" s="6">
        <v>237.6</v>
      </c>
      <c r="BA933" s="6"/>
      <c r="BB933" s="6">
        <v>202.45</v>
      </c>
    </row>
    <row r="934" spans="32:55">
      <c r="AF934">
        <f t="shared" si="52"/>
        <v>0</v>
      </c>
      <c r="AG934" t="str">
        <f t="shared" si="53"/>
        <v>C₆H₅CH=CH₂ (g)</v>
      </c>
      <c r="AH934" t="s">
        <v>3242</v>
      </c>
      <c r="AI934" t="s">
        <v>3243</v>
      </c>
      <c r="AJ934" t="s">
        <v>3243</v>
      </c>
      <c r="AL934" t="s">
        <v>3245</v>
      </c>
      <c r="AS934" t="s">
        <v>47</v>
      </c>
      <c r="AX934" s="6">
        <v>104.16</v>
      </c>
      <c r="AY934" s="6" t="s">
        <v>3247</v>
      </c>
      <c r="AZ934" s="6">
        <v>345.2</v>
      </c>
      <c r="BA934" s="6"/>
      <c r="BB934" s="6">
        <v>213.83</v>
      </c>
    </row>
    <row r="935" spans="32:55">
      <c r="AF935">
        <f t="shared" si="52"/>
        <v>0</v>
      </c>
      <c r="AG935" t="str">
        <f t="shared" si="53"/>
        <v>C₆H₄(CH₃)₂ (l)</v>
      </c>
      <c r="AH935" t="s">
        <v>3248</v>
      </c>
      <c r="AI935" t="s">
        <v>3249</v>
      </c>
      <c r="AJ935" t="s">
        <v>3250</v>
      </c>
      <c r="AK935" t="s">
        <v>3251</v>
      </c>
      <c r="AL935" t="s">
        <v>3252</v>
      </c>
      <c r="AS935" t="s">
        <v>239</v>
      </c>
      <c r="AX935" s="6">
        <v>106.17</v>
      </c>
      <c r="AY935" s="6" t="s">
        <v>3253</v>
      </c>
      <c r="AZ935" s="6">
        <v>246.5</v>
      </c>
      <c r="BA935" s="6"/>
      <c r="BB935" s="6">
        <v>110.41</v>
      </c>
    </row>
    <row r="936" spans="32:55">
      <c r="AF936">
        <f t="shared" si="52"/>
        <v>0</v>
      </c>
      <c r="AG936" t="str">
        <f t="shared" si="53"/>
        <v>C₆H₄(CH₃)₂ (g,o)</v>
      </c>
      <c r="AH936" t="s">
        <v>3248</v>
      </c>
      <c r="AI936" t="s">
        <v>3249</v>
      </c>
      <c r="AJ936" t="s">
        <v>3250</v>
      </c>
      <c r="AL936" t="s">
        <v>3252</v>
      </c>
      <c r="AS936" t="s">
        <v>5803</v>
      </c>
      <c r="AX936" s="6">
        <v>106.17</v>
      </c>
      <c r="AY936" s="6" t="s">
        <v>3254</v>
      </c>
      <c r="AZ936" s="6">
        <v>352.9</v>
      </c>
      <c r="BA936" s="6"/>
      <c r="BB936" s="6">
        <v>122.14</v>
      </c>
    </row>
    <row r="937" spans="32:55">
      <c r="AF937">
        <f t="shared" si="52"/>
        <v>0</v>
      </c>
      <c r="AG937" t="str">
        <f t="shared" si="53"/>
        <v>C₆H₄(CH₃)₂ (l,o)</v>
      </c>
      <c r="AH937" t="s">
        <v>3248</v>
      </c>
      <c r="AI937" t="s">
        <v>3249</v>
      </c>
      <c r="AJ937" t="s">
        <v>3250</v>
      </c>
      <c r="AK937" t="s">
        <v>3255</v>
      </c>
      <c r="AL937" t="s">
        <v>3256</v>
      </c>
      <c r="AS937" t="s">
        <v>5802</v>
      </c>
      <c r="AX937" s="6">
        <v>106.17</v>
      </c>
      <c r="AY937" s="6" t="s">
        <v>3257</v>
      </c>
      <c r="AZ937" s="6">
        <v>352.2</v>
      </c>
      <c r="BA937" s="6"/>
      <c r="BB937" s="6">
        <v>107.73</v>
      </c>
    </row>
    <row r="938" spans="32:55">
      <c r="AF938">
        <f t="shared" si="52"/>
        <v>0</v>
      </c>
      <c r="AG938" t="str">
        <f t="shared" si="53"/>
        <v>C₆H₄(CH₃)₂ (g,m)</v>
      </c>
      <c r="AH938" t="s">
        <v>3248</v>
      </c>
      <c r="AI938" t="s">
        <v>3249</v>
      </c>
      <c r="AJ938" t="s">
        <v>3250</v>
      </c>
      <c r="AL938" t="s">
        <v>3256</v>
      </c>
      <c r="AS938" t="s">
        <v>5801</v>
      </c>
      <c r="AX938" s="6">
        <v>106.17</v>
      </c>
      <c r="AY938" s="6" t="s">
        <v>3258</v>
      </c>
      <c r="AZ938" s="6">
        <v>357.8</v>
      </c>
      <c r="BA938" s="6"/>
      <c r="BB938" s="6">
        <v>118.82</v>
      </c>
    </row>
    <row r="939" spans="32:55">
      <c r="AF939">
        <f t="shared" si="52"/>
        <v>0</v>
      </c>
      <c r="AG939" t="str">
        <f t="shared" si="53"/>
        <v>C₆H₄(CH₃)₂ (l,m)</v>
      </c>
      <c r="AH939" t="s">
        <v>3248</v>
      </c>
      <c r="AI939" t="s">
        <v>3249</v>
      </c>
      <c r="AJ939" t="s">
        <v>3250</v>
      </c>
      <c r="AK939" t="s">
        <v>3259</v>
      </c>
      <c r="AL939" t="s">
        <v>3260</v>
      </c>
      <c r="AS939" t="s">
        <v>5804</v>
      </c>
      <c r="AX939" s="6">
        <v>106.17</v>
      </c>
      <c r="AY939" s="6" t="s">
        <v>3253</v>
      </c>
      <c r="AZ939" s="6">
        <v>247.4</v>
      </c>
      <c r="BA939" s="6"/>
      <c r="BB939" s="6">
        <v>110.16</v>
      </c>
    </row>
    <row r="940" spans="32:55">
      <c r="AF940">
        <f t="shared" si="52"/>
        <v>0</v>
      </c>
      <c r="AG940" t="str">
        <f t="shared" si="53"/>
        <v>C₆H₄(CH₃)₂ (g)</v>
      </c>
      <c r="AH940" t="s">
        <v>3248</v>
      </c>
      <c r="AI940" t="s">
        <v>3249</v>
      </c>
      <c r="AJ940" t="s">
        <v>3250</v>
      </c>
      <c r="AL940" t="s">
        <v>3260</v>
      </c>
      <c r="AS940" t="s">
        <v>47</v>
      </c>
      <c r="AX940" s="6">
        <v>106.17</v>
      </c>
      <c r="AY940" s="6" t="s">
        <v>3261</v>
      </c>
      <c r="AZ940" s="6">
        <v>352.5</v>
      </c>
      <c r="BA940" s="6"/>
      <c r="BB940" s="6">
        <v>121.18</v>
      </c>
    </row>
    <row r="941" spans="32:55">
      <c r="AF941">
        <f t="shared" si="52"/>
        <v>0</v>
      </c>
      <c r="AG941" t="str">
        <f t="shared" si="53"/>
        <v>C₆H₅CH₂CH₃ (l)</v>
      </c>
      <c r="AH941" t="s">
        <v>3262</v>
      </c>
      <c r="AI941" t="s">
        <v>3263</v>
      </c>
      <c r="AJ941" t="s">
        <v>3263</v>
      </c>
      <c r="AL941" t="s">
        <v>3264</v>
      </c>
      <c r="AS941" t="s">
        <v>239</v>
      </c>
      <c r="AX941" s="6">
        <v>106.17</v>
      </c>
      <c r="AY941" s="6" t="s">
        <v>3265</v>
      </c>
      <c r="AZ941" s="6">
        <v>255.3</v>
      </c>
      <c r="BA941" s="6"/>
      <c r="BB941" s="6">
        <v>119.79</v>
      </c>
    </row>
    <row r="942" spans="32:55">
      <c r="AF942">
        <f t="shared" si="52"/>
        <v>0</v>
      </c>
      <c r="AG942" t="str">
        <f t="shared" si="53"/>
        <v>C₆H₅CH₂CH₃ (g)</v>
      </c>
      <c r="AH942" t="s">
        <v>3262</v>
      </c>
      <c r="AI942" t="s">
        <v>3263</v>
      </c>
      <c r="AJ942" t="s">
        <v>3263</v>
      </c>
      <c r="AL942" t="s">
        <v>3264</v>
      </c>
      <c r="AS942" t="s">
        <v>47</v>
      </c>
      <c r="AX942" s="6">
        <v>106.17</v>
      </c>
      <c r="AY942" s="6" t="s">
        <v>3266</v>
      </c>
      <c r="AZ942" s="6">
        <v>360.5</v>
      </c>
      <c r="BA942" s="6"/>
      <c r="BB942" s="6">
        <v>130.63999999999999</v>
      </c>
    </row>
    <row r="943" spans="32:55">
      <c r="AF943">
        <f t="shared" si="52"/>
        <v>0</v>
      </c>
      <c r="AG943" t="str">
        <f t="shared" si="53"/>
        <v>C₆H₅CH(CH₃)₂ (l)</v>
      </c>
      <c r="AH943" t="s">
        <v>3267</v>
      </c>
      <c r="AI943" t="s">
        <v>3268</v>
      </c>
      <c r="AJ943" t="s">
        <v>3269</v>
      </c>
      <c r="AL943" t="s">
        <v>3270</v>
      </c>
      <c r="AS943" t="s">
        <v>239</v>
      </c>
      <c r="AX943" s="6">
        <v>120.2</v>
      </c>
      <c r="AY943" s="6" t="s">
        <v>3271</v>
      </c>
      <c r="AZ943" s="6">
        <v>279.8</v>
      </c>
      <c r="BA943" s="6"/>
      <c r="BB943" s="6">
        <v>124.36</v>
      </c>
    </row>
    <row r="944" spans="32:55">
      <c r="AF944">
        <f t="shared" si="52"/>
        <v>0</v>
      </c>
      <c r="AG944" t="str">
        <f t="shared" si="53"/>
        <v>C₆H₅CH(CH₃)₂ (g)</v>
      </c>
      <c r="AH944" t="s">
        <v>3267</v>
      </c>
      <c r="AI944" t="s">
        <v>3268</v>
      </c>
      <c r="AJ944" t="s">
        <v>3269</v>
      </c>
      <c r="AL944" t="s">
        <v>3270</v>
      </c>
      <c r="AS944" t="s">
        <v>47</v>
      </c>
      <c r="AX944" s="6">
        <v>120.2</v>
      </c>
      <c r="AY944" s="6" t="s">
        <v>3272</v>
      </c>
      <c r="AZ944" s="6">
        <v>388.7</v>
      </c>
      <c r="BA944" s="6"/>
      <c r="BB944" s="6">
        <v>137.05000000000001</v>
      </c>
    </row>
    <row r="945" spans="32:54">
      <c r="AF945">
        <f t="shared" si="52"/>
        <v>0</v>
      </c>
      <c r="AG945" t="str">
        <f t="shared" si="53"/>
        <v>C₆H₅-C₆H₅ (s)</v>
      </c>
      <c r="AH945" t="s">
        <v>3273</v>
      </c>
      <c r="AI945" t="s">
        <v>3274</v>
      </c>
      <c r="AJ945" t="s">
        <v>3274</v>
      </c>
      <c r="AL945" t="s">
        <v>3275</v>
      </c>
      <c r="AS945" t="s">
        <v>160</v>
      </c>
      <c r="AX945" s="6">
        <v>154.19999999999999</v>
      </c>
      <c r="AY945" s="6" t="s">
        <v>3276</v>
      </c>
      <c r="AZ945" s="6">
        <v>209.4</v>
      </c>
      <c r="BA945" s="6"/>
      <c r="BB945" s="6">
        <v>254.24</v>
      </c>
    </row>
    <row r="946" spans="32:54">
      <c r="AF946">
        <f t="shared" si="52"/>
        <v>0</v>
      </c>
      <c r="AG946" t="str">
        <f t="shared" si="53"/>
        <v>C₆H₅-C₆H₅ (l)</v>
      </c>
      <c r="AH946" t="s">
        <v>3273</v>
      </c>
      <c r="AI946" t="s">
        <v>3274</v>
      </c>
      <c r="AJ946" t="s">
        <v>3274</v>
      </c>
      <c r="AL946" t="s">
        <v>3275</v>
      </c>
      <c r="AS946" t="s">
        <v>239</v>
      </c>
      <c r="AX946" s="6">
        <v>154.19999999999999</v>
      </c>
      <c r="AY946" s="6" t="s">
        <v>3277</v>
      </c>
      <c r="AZ946" s="6">
        <v>250.2</v>
      </c>
      <c r="BA946" s="6"/>
      <c r="BB946" s="6">
        <v>259.77999999999997</v>
      </c>
    </row>
    <row r="947" spans="32:54">
      <c r="AF947">
        <f t="shared" si="52"/>
        <v>0</v>
      </c>
      <c r="AG947" t="str">
        <f t="shared" si="53"/>
        <v>CH₃Cl (g)</v>
      </c>
      <c r="AH947" t="s">
        <v>3278</v>
      </c>
      <c r="AI947" t="s">
        <v>3279</v>
      </c>
      <c r="AJ947" t="s">
        <v>3279</v>
      </c>
      <c r="AL947" t="s">
        <v>3280</v>
      </c>
      <c r="AS947" t="s">
        <v>47</v>
      </c>
      <c r="AX947" s="6">
        <v>50.49</v>
      </c>
      <c r="AY947" s="6" t="s">
        <v>3281</v>
      </c>
      <c r="AZ947" s="6">
        <v>234.6</v>
      </c>
      <c r="BA947" s="6"/>
      <c r="BB947" s="6">
        <v>-58.47</v>
      </c>
    </row>
    <row r="948" spans="32:54">
      <c r="AF948">
        <f t="shared" si="52"/>
        <v>0</v>
      </c>
      <c r="AG948" t="str">
        <f t="shared" si="53"/>
        <v>CHCl=CH₂ (g)</v>
      </c>
      <c r="AH948" t="s">
        <v>3282</v>
      </c>
      <c r="AI948" t="s">
        <v>3283</v>
      </c>
      <c r="AJ948" t="s">
        <v>3283</v>
      </c>
      <c r="AK948" t="s">
        <v>3284</v>
      </c>
      <c r="AL948" t="s">
        <v>3285</v>
      </c>
      <c r="AS948" t="s">
        <v>47</v>
      </c>
      <c r="AX948" s="6">
        <v>62.5</v>
      </c>
      <c r="AY948" s="6" t="s">
        <v>3286</v>
      </c>
      <c r="AZ948" s="6">
        <v>264</v>
      </c>
      <c r="BA948" s="6"/>
      <c r="BB948" s="6">
        <v>53.7</v>
      </c>
    </row>
    <row r="949" spans="32:54">
      <c r="AF949">
        <f t="shared" si="52"/>
        <v>0</v>
      </c>
      <c r="AG949" t="str">
        <f t="shared" si="53"/>
        <v>CH₃CH₂Cl (g)</v>
      </c>
      <c r="AH949" t="s">
        <v>3287</v>
      </c>
      <c r="AI949" t="s">
        <v>3288</v>
      </c>
      <c r="AJ949" t="s">
        <v>3288</v>
      </c>
      <c r="AL949" t="s">
        <v>3289</v>
      </c>
      <c r="AS949" t="s">
        <v>47</v>
      </c>
      <c r="AX949" s="6">
        <v>64.510000000000005</v>
      </c>
      <c r="AY949" s="6" t="s">
        <v>3290</v>
      </c>
      <c r="AZ949" s="6">
        <v>276</v>
      </c>
      <c r="BA949" s="6"/>
      <c r="BB949" s="6">
        <v>-60.4</v>
      </c>
    </row>
    <row r="950" spans="32:54">
      <c r="AF950">
        <f t="shared" si="52"/>
        <v>0</v>
      </c>
      <c r="AG950" t="str">
        <f t="shared" si="53"/>
        <v>CH₃CH₂CH₂Cl (g)</v>
      </c>
      <c r="AH950" t="s">
        <v>3291</v>
      </c>
      <c r="AI950" t="s">
        <v>3292</v>
      </c>
      <c r="AJ950" t="s">
        <v>3292</v>
      </c>
      <c r="AL950" t="s">
        <v>3293</v>
      </c>
      <c r="AS950" t="s">
        <v>47</v>
      </c>
      <c r="AX950" s="6">
        <v>78.540000000000006</v>
      </c>
      <c r="AY950" s="6" t="s">
        <v>3294</v>
      </c>
      <c r="AZ950" s="6">
        <v>319.2</v>
      </c>
      <c r="BA950" s="6"/>
      <c r="BB950" s="6">
        <v>-50.64</v>
      </c>
    </row>
    <row r="951" spans="32:54">
      <c r="AF951">
        <f t="shared" si="52"/>
        <v>0</v>
      </c>
      <c r="AG951" t="str">
        <f t="shared" si="53"/>
        <v>CH₃CHClCH₃ (g)</v>
      </c>
      <c r="AH951" t="s">
        <v>3295</v>
      </c>
      <c r="AI951" t="s">
        <v>3296</v>
      </c>
      <c r="AJ951" t="s">
        <v>3296</v>
      </c>
      <c r="AL951" t="s">
        <v>3297</v>
      </c>
      <c r="AS951" t="s">
        <v>47</v>
      </c>
      <c r="AX951" s="6">
        <v>78.540000000000006</v>
      </c>
      <c r="AY951" s="6" t="s">
        <v>3298</v>
      </c>
      <c r="AZ951" s="6">
        <v>304.3</v>
      </c>
      <c r="BA951" s="6"/>
      <c r="BB951" s="6">
        <v>-62.48</v>
      </c>
    </row>
    <row r="952" spans="32:54">
      <c r="AF952">
        <f t="shared" si="52"/>
        <v>0</v>
      </c>
      <c r="AG952" t="str">
        <f t="shared" si="53"/>
        <v>CH₂Cl₂ (g)</v>
      </c>
      <c r="AH952" t="s">
        <v>3299</v>
      </c>
      <c r="AI952" t="s">
        <v>3300</v>
      </c>
      <c r="AJ952" t="s">
        <v>3300</v>
      </c>
      <c r="AL952" t="s">
        <v>3301</v>
      </c>
      <c r="AS952" t="s">
        <v>47</v>
      </c>
      <c r="AX952" s="6">
        <v>84.93</v>
      </c>
      <c r="AY952" s="6" t="s">
        <v>3302</v>
      </c>
      <c r="AZ952" s="6">
        <v>270.2</v>
      </c>
      <c r="BA952" s="6"/>
      <c r="BB952" s="6">
        <v>-68.87</v>
      </c>
    </row>
    <row r="953" spans="32:54">
      <c r="AF953">
        <f t="shared" si="52"/>
        <v>0</v>
      </c>
      <c r="AG953" t="str">
        <f t="shared" si="53"/>
        <v>CH₂Cl₂ (l)</v>
      </c>
      <c r="AH953" t="s">
        <v>3299</v>
      </c>
      <c r="AI953" t="s">
        <v>3300</v>
      </c>
      <c r="AJ953" t="s">
        <v>3300</v>
      </c>
      <c r="AL953" t="s">
        <v>3301</v>
      </c>
      <c r="AS953" t="s">
        <v>239</v>
      </c>
      <c r="AX953" s="6">
        <v>84.93</v>
      </c>
      <c r="AY953" s="6" t="s">
        <v>3303</v>
      </c>
      <c r="AZ953" s="6">
        <v>177.8</v>
      </c>
      <c r="BA953" s="6"/>
      <c r="BB953" s="6">
        <v>-70.39</v>
      </c>
    </row>
    <row r="954" spans="32:54">
      <c r="AF954">
        <f t="shared" si="52"/>
        <v>0</v>
      </c>
      <c r="AG954" t="str">
        <f t="shared" si="53"/>
        <v>CH₃(CH₂)₂CH₂Cl (g)</v>
      </c>
      <c r="AH954" t="s">
        <v>3304</v>
      </c>
      <c r="AI954" t="s">
        <v>3305</v>
      </c>
      <c r="AJ954" t="s">
        <v>3306</v>
      </c>
      <c r="AL954" t="s">
        <v>3307</v>
      </c>
      <c r="AS954" t="s">
        <v>47</v>
      </c>
      <c r="AX954" s="6">
        <v>92.57</v>
      </c>
      <c r="AY954" s="6" t="s">
        <v>3308</v>
      </c>
      <c r="AZ954" s="6">
        <v>358.2</v>
      </c>
      <c r="BA954" s="6"/>
      <c r="BB954" s="6">
        <v>-38.74</v>
      </c>
    </row>
    <row r="955" spans="32:54">
      <c r="AF955">
        <f t="shared" si="52"/>
        <v>0</v>
      </c>
      <c r="AG955" t="str">
        <f t="shared" si="53"/>
        <v>CH₃CH₂CHClCH₃ (g)</v>
      </c>
      <c r="AH955" t="s">
        <v>3309</v>
      </c>
      <c r="AI955" t="s">
        <v>3310</v>
      </c>
      <c r="AJ955" t="s">
        <v>3310</v>
      </c>
      <c r="AL955" t="s">
        <v>3311</v>
      </c>
      <c r="AS955" t="s">
        <v>47</v>
      </c>
      <c r="AX955" s="6">
        <v>92.57</v>
      </c>
      <c r="AY955" s="6" t="s">
        <v>3312</v>
      </c>
      <c r="AZ955" s="6">
        <v>359.7</v>
      </c>
      <c r="BA955" s="6"/>
      <c r="BB955" s="6">
        <v>-53.42</v>
      </c>
    </row>
    <row r="956" spans="32:54">
      <c r="AF956">
        <f t="shared" si="52"/>
        <v>0</v>
      </c>
      <c r="AG956" t="str">
        <f t="shared" si="53"/>
        <v>(CH₃)₂CHCH₂Cl (g)</v>
      </c>
      <c r="AH956" t="s">
        <v>3313</v>
      </c>
      <c r="AI956" t="s">
        <v>3314</v>
      </c>
      <c r="AJ956" t="s">
        <v>3315</v>
      </c>
      <c r="AL956" t="s">
        <v>3316</v>
      </c>
      <c r="AS956" t="s">
        <v>47</v>
      </c>
      <c r="AX956" s="6">
        <v>92.57</v>
      </c>
      <c r="AY956" s="6" t="s">
        <v>3317</v>
      </c>
      <c r="AZ956" s="6">
        <v>353.9</v>
      </c>
      <c r="BA956" s="6"/>
      <c r="BB956" s="6">
        <v>-49.61</v>
      </c>
    </row>
    <row r="957" spans="32:54">
      <c r="AF957">
        <f t="shared" si="52"/>
        <v>0</v>
      </c>
      <c r="AG957" t="str">
        <f t="shared" si="53"/>
        <v>(CH₃)₃CCl (g)</v>
      </c>
      <c r="AH957" t="s">
        <v>3318</v>
      </c>
      <c r="AI957" t="s">
        <v>3319</v>
      </c>
      <c r="AJ957" t="s">
        <v>3320</v>
      </c>
      <c r="AL957" t="s">
        <v>3321</v>
      </c>
      <c r="AS957" t="s">
        <v>47</v>
      </c>
      <c r="AX957" s="6">
        <v>92.57</v>
      </c>
      <c r="AY957" s="6" t="s">
        <v>3322</v>
      </c>
      <c r="AZ957" s="6">
        <v>322.3</v>
      </c>
      <c r="BA957" s="6"/>
      <c r="BB957" s="6">
        <v>-64.05</v>
      </c>
    </row>
    <row r="958" spans="32:54">
      <c r="AF958">
        <f t="shared" si="52"/>
        <v>0</v>
      </c>
      <c r="AG958" t="str">
        <f t="shared" si="53"/>
        <v>CH₂=CCl₂ (l)</v>
      </c>
      <c r="AH958" t="s">
        <v>3323</v>
      </c>
      <c r="AI958" t="s">
        <v>3324</v>
      </c>
      <c r="AJ958" t="s">
        <v>3324</v>
      </c>
      <c r="AL958" t="s">
        <v>3325</v>
      </c>
      <c r="AS958" t="s">
        <v>239</v>
      </c>
      <c r="AX958" s="6">
        <v>96.94</v>
      </c>
      <c r="AY958" s="6" t="s">
        <v>3326</v>
      </c>
      <c r="AZ958" s="6">
        <v>326.5</v>
      </c>
      <c r="BA958" s="6"/>
      <c r="BB958" s="6">
        <v>89.1</v>
      </c>
    </row>
    <row r="959" spans="32:54">
      <c r="AF959">
        <f t="shared" si="52"/>
        <v>0</v>
      </c>
      <c r="AG959" t="str">
        <f t="shared" si="53"/>
        <v>CHCl=CHCl (l)</v>
      </c>
      <c r="AH959" t="s">
        <v>3327</v>
      </c>
      <c r="AI959" t="s">
        <v>3327</v>
      </c>
      <c r="AJ959" t="s">
        <v>3327</v>
      </c>
      <c r="AL959" t="s">
        <v>3328</v>
      </c>
      <c r="AS959" t="s">
        <v>239</v>
      </c>
      <c r="AX959" s="6">
        <v>96.94</v>
      </c>
      <c r="AY959" s="6" t="s">
        <v>3329</v>
      </c>
      <c r="AZ959" s="6">
        <v>201.5</v>
      </c>
      <c r="BA959" s="6"/>
      <c r="BB959" s="6">
        <v>24.1</v>
      </c>
    </row>
    <row r="960" spans="32:54">
      <c r="AF960" t="str">
        <f t="shared" si="52"/>
        <v>1</v>
      </c>
      <c r="AG960" t="str">
        <f t="shared" si="53"/>
        <v>CHCl=CHCl (g)</v>
      </c>
      <c r="AH960" t="s">
        <v>3327</v>
      </c>
      <c r="AI960" t="s">
        <v>3327</v>
      </c>
      <c r="AJ960" t="s">
        <v>3327</v>
      </c>
      <c r="AL960" t="s">
        <v>3328</v>
      </c>
      <c r="AS960" t="s">
        <v>47</v>
      </c>
      <c r="AX960" s="6">
        <v>96.94</v>
      </c>
      <c r="AY960" s="6" t="s">
        <v>3330</v>
      </c>
      <c r="AZ960" s="6">
        <v>289</v>
      </c>
      <c r="BA960" s="6"/>
      <c r="BB960" s="6">
        <v>24.4</v>
      </c>
    </row>
    <row r="961" spans="32:54">
      <c r="AF961" t="str">
        <f t="shared" si="52"/>
        <v>1</v>
      </c>
      <c r="AG961" t="str">
        <f t="shared" si="53"/>
        <v>CHCl=CHCl (g)</v>
      </c>
      <c r="AH961" t="s">
        <v>3327</v>
      </c>
      <c r="AI961" t="s">
        <v>3327</v>
      </c>
      <c r="AJ961" t="s">
        <v>3327</v>
      </c>
      <c r="AL961" t="s">
        <v>3331</v>
      </c>
      <c r="AS961" t="s">
        <v>47</v>
      </c>
      <c r="AX961" s="6">
        <v>96.94</v>
      </c>
      <c r="AY961" s="6" t="s">
        <v>3332</v>
      </c>
      <c r="AZ961" s="6">
        <v>289.60000000000002</v>
      </c>
      <c r="BA961" s="6"/>
      <c r="BB961" s="6">
        <v>26.6</v>
      </c>
    </row>
    <row r="962" spans="32:54">
      <c r="AF962">
        <f t="shared" si="52"/>
        <v>0</v>
      </c>
      <c r="AG962" t="str">
        <f t="shared" si="53"/>
        <v>CH₃CHCl₂ (l)</v>
      </c>
      <c r="AH962" t="s">
        <v>3333</v>
      </c>
      <c r="AI962" t="s">
        <v>3334</v>
      </c>
      <c r="AJ962" t="s">
        <v>3334</v>
      </c>
      <c r="AL962" t="s">
        <v>3335</v>
      </c>
      <c r="AS962" t="s">
        <v>239</v>
      </c>
      <c r="AX962" s="6">
        <v>98.96</v>
      </c>
      <c r="AY962" s="6" t="s">
        <v>3336</v>
      </c>
      <c r="AZ962" s="6">
        <v>211.8</v>
      </c>
      <c r="BA962" s="6"/>
      <c r="BB962" s="6">
        <v>-75.8</v>
      </c>
    </row>
    <row r="963" spans="32:54">
      <c r="AF963">
        <f t="shared" ref="AF963:AF1026" si="54">IF(OR(AG963="",COUNTIF(AG:AG, AG963) = 1),0, "1")</f>
        <v>0</v>
      </c>
      <c r="AG963" t="str">
        <f t="shared" ref="AG963:AG1026" si="55">IF(AS963 &lt;&gt; "",AH963&amp;" ("&amp;AS963 &amp;")","")</f>
        <v>CH₂ClCH₂Cl (l)</v>
      </c>
      <c r="AH963" t="s">
        <v>3337</v>
      </c>
      <c r="AI963" t="s">
        <v>3338</v>
      </c>
      <c r="AJ963" t="s">
        <v>3338</v>
      </c>
      <c r="AL963" t="s">
        <v>3339</v>
      </c>
      <c r="AS963" t="s">
        <v>239</v>
      </c>
      <c r="AX963" s="6">
        <v>98.96</v>
      </c>
      <c r="AY963" s="6" t="s">
        <v>3340</v>
      </c>
      <c r="AZ963" s="6">
        <v>208.5</v>
      </c>
      <c r="BA963" s="6"/>
      <c r="BB963" s="6">
        <v>-79.569999999999993</v>
      </c>
    </row>
    <row r="964" spans="32:54">
      <c r="AF964">
        <f t="shared" si="54"/>
        <v>0</v>
      </c>
      <c r="AG964" t="str">
        <f t="shared" si="55"/>
        <v>C₆H₅Cl (l)</v>
      </c>
      <c r="AH964" t="s">
        <v>3341</v>
      </c>
      <c r="AI964" t="s">
        <v>3342</v>
      </c>
      <c r="AJ964" t="s">
        <v>3342</v>
      </c>
      <c r="AL964" t="s">
        <v>3343</v>
      </c>
      <c r="AS964" t="s">
        <v>239</v>
      </c>
      <c r="AX964" s="6">
        <v>112.56</v>
      </c>
      <c r="AY964" s="6" t="s">
        <v>3344</v>
      </c>
      <c r="AZ964" s="6">
        <v>209.2</v>
      </c>
      <c r="BA964" s="6"/>
      <c r="BB964" s="6">
        <v>89.25</v>
      </c>
    </row>
    <row r="965" spans="32:54">
      <c r="AF965">
        <f t="shared" si="54"/>
        <v>0</v>
      </c>
      <c r="AG965" t="str">
        <f t="shared" si="55"/>
        <v>CHCl₃ (l)</v>
      </c>
      <c r="AH965" t="s">
        <v>3345</v>
      </c>
      <c r="AI965" t="s">
        <v>3346</v>
      </c>
      <c r="AJ965" t="s">
        <v>3346</v>
      </c>
      <c r="AK965" t="s">
        <v>3347</v>
      </c>
      <c r="AL965" t="s">
        <v>3348</v>
      </c>
      <c r="AS965" t="s">
        <v>239</v>
      </c>
      <c r="AX965" s="6">
        <v>119.38</v>
      </c>
      <c r="AY965" s="6" t="s">
        <v>3349</v>
      </c>
      <c r="AZ965" s="6">
        <v>201.7</v>
      </c>
      <c r="BA965" s="6"/>
      <c r="BB965" s="6">
        <v>-73.7</v>
      </c>
    </row>
    <row r="966" spans="32:54">
      <c r="AF966">
        <f t="shared" si="54"/>
        <v>0</v>
      </c>
      <c r="AG966" t="str">
        <f t="shared" si="55"/>
        <v>CHCl₃ (g)</v>
      </c>
      <c r="AH966" t="s">
        <v>3345</v>
      </c>
      <c r="AI966" t="s">
        <v>3346</v>
      </c>
      <c r="AJ966" t="s">
        <v>3346</v>
      </c>
      <c r="AL966" t="s">
        <v>3348</v>
      </c>
      <c r="AS966" t="s">
        <v>47</v>
      </c>
      <c r="AX966" s="6">
        <v>119.38</v>
      </c>
      <c r="AY966" s="6" t="s">
        <v>3350</v>
      </c>
      <c r="AZ966" s="6">
        <v>295.7</v>
      </c>
      <c r="BA966" s="6"/>
      <c r="BB966" s="6">
        <v>6</v>
      </c>
    </row>
    <row r="967" spans="32:54">
      <c r="AF967">
        <f t="shared" si="54"/>
        <v>0</v>
      </c>
      <c r="AG967" t="str">
        <f t="shared" si="55"/>
        <v>CCl₂=CHCl (g)</v>
      </c>
      <c r="AH967" t="s">
        <v>3351</v>
      </c>
      <c r="AI967" t="s">
        <v>3352</v>
      </c>
      <c r="AJ967" t="s">
        <v>3352</v>
      </c>
      <c r="AL967" t="s">
        <v>3353</v>
      </c>
      <c r="AS967" t="s">
        <v>47</v>
      </c>
      <c r="AX967" s="6">
        <v>119.38</v>
      </c>
      <c r="AY967" s="6" t="s">
        <v>3354</v>
      </c>
      <c r="AZ967" s="6">
        <v>324.8</v>
      </c>
      <c r="BA967" s="6"/>
      <c r="BB967" s="6">
        <v>19.87</v>
      </c>
    </row>
    <row r="968" spans="32:54">
      <c r="AF968">
        <f t="shared" si="54"/>
        <v>0</v>
      </c>
      <c r="AG968" t="str">
        <f t="shared" si="55"/>
        <v>CH₃CCl₃ (g)</v>
      </c>
      <c r="AH968" t="s">
        <v>3355</v>
      </c>
      <c r="AI968" t="s">
        <v>3356</v>
      </c>
      <c r="AJ968" t="s">
        <v>3356</v>
      </c>
      <c r="AL968" t="s">
        <v>3357</v>
      </c>
      <c r="AS968" t="s">
        <v>47</v>
      </c>
      <c r="AX968" s="6">
        <v>133.4</v>
      </c>
      <c r="AY968" s="6" t="s">
        <v>3308</v>
      </c>
      <c r="AZ968" s="6">
        <v>323.10000000000002</v>
      </c>
      <c r="BA968" s="6"/>
      <c r="BB968" s="6">
        <v>-79.17</v>
      </c>
    </row>
    <row r="969" spans="32:54">
      <c r="AF969">
        <f t="shared" si="54"/>
        <v>0</v>
      </c>
      <c r="AG969" t="str">
        <f t="shared" si="55"/>
        <v>CH₂ClCHCl₂ (g)</v>
      </c>
      <c r="AH969" t="s">
        <v>3358</v>
      </c>
      <c r="AI969" t="s">
        <v>3359</v>
      </c>
      <c r="AJ969" t="s">
        <v>3359</v>
      </c>
      <c r="AL969" t="s">
        <v>3360</v>
      </c>
      <c r="AS969" t="s">
        <v>47</v>
      </c>
      <c r="AX969" s="6">
        <v>133.4</v>
      </c>
      <c r="AY969" s="6" t="s">
        <v>3361</v>
      </c>
      <c r="AZ969" s="6">
        <v>337.2</v>
      </c>
      <c r="BA969" s="6"/>
      <c r="BB969" s="6">
        <v>-77.44</v>
      </c>
    </row>
    <row r="970" spans="32:54">
      <c r="AF970" t="str">
        <f t="shared" si="54"/>
        <v>1</v>
      </c>
      <c r="AG970" t="str">
        <f t="shared" si="55"/>
        <v>C₆H₄Cl₂ (g)</v>
      </c>
      <c r="AH970" t="s">
        <v>3362</v>
      </c>
      <c r="AI970" t="s">
        <v>3363</v>
      </c>
      <c r="AJ970" t="s">
        <v>3363</v>
      </c>
      <c r="AL970" t="s">
        <v>3364</v>
      </c>
      <c r="AS970" t="s">
        <v>47</v>
      </c>
      <c r="AX970" s="6">
        <v>147</v>
      </c>
      <c r="AY970" s="6" t="s">
        <v>3365</v>
      </c>
      <c r="AZ970" s="6">
        <v>341.6</v>
      </c>
      <c r="BA970" s="6"/>
      <c r="BB970" s="6">
        <v>82.7</v>
      </c>
    </row>
    <row r="971" spans="32:54">
      <c r="AF971" t="str">
        <f t="shared" si="54"/>
        <v>1</v>
      </c>
      <c r="AG971" t="str">
        <f t="shared" si="55"/>
        <v>C₆H₄Cl₂ (g)</v>
      </c>
      <c r="AH971" t="s">
        <v>3362</v>
      </c>
      <c r="AI971" t="s">
        <v>3363</v>
      </c>
      <c r="AJ971" t="s">
        <v>3363</v>
      </c>
      <c r="AL971" t="s">
        <v>3366</v>
      </c>
      <c r="AS971" t="s">
        <v>47</v>
      </c>
      <c r="AX971" s="6">
        <v>133.4</v>
      </c>
      <c r="AY971" s="6" t="s">
        <v>3367</v>
      </c>
      <c r="AZ971" s="6">
        <v>343.6</v>
      </c>
      <c r="BA971" s="6"/>
      <c r="BB971" s="6">
        <v>78.599999999999994</v>
      </c>
    </row>
    <row r="972" spans="32:54">
      <c r="AF972" t="str">
        <f t="shared" si="54"/>
        <v>1</v>
      </c>
      <c r="AG972" t="str">
        <f t="shared" si="55"/>
        <v>C₆H₄Cl₂ (g)</v>
      </c>
      <c r="AH972" t="s">
        <v>3362</v>
      </c>
      <c r="AI972" t="s">
        <v>3363</v>
      </c>
      <c r="AJ972" t="s">
        <v>3363</v>
      </c>
      <c r="AL972" t="s">
        <v>3368</v>
      </c>
      <c r="AS972" t="s">
        <v>47</v>
      </c>
      <c r="AX972" s="6">
        <v>133.4</v>
      </c>
      <c r="AY972" s="6" t="s">
        <v>3369</v>
      </c>
      <c r="AZ972" s="6">
        <v>336.8</v>
      </c>
      <c r="BA972" s="6"/>
      <c r="BB972" s="6">
        <v>77.17</v>
      </c>
    </row>
    <row r="973" spans="32:54">
      <c r="AF973">
        <f t="shared" si="54"/>
        <v>0</v>
      </c>
      <c r="AG973" t="str">
        <f t="shared" si="55"/>
        <v>CCl₄ (l)</v>
      </c>
      <c r="AH973" t="s">
        <v>3370</v>
      </c>
      <c r="AI973" t="s">
        <v>3371</v>
      </c>
      <c r="AJ973" t="s">
        <v>3371</v>
      </c>
      <c r="AL973" t="s">
        <v>3372</v>
      </c>
      <c r="AS973" t="s">
        <v>239</v>
      </c>
      <c r="AX973" s="6">
        <v>153.82</v>
      </c>
      <c r="AY973" s="6" t="s">
        <v>3373</v>
      </c>
      <c r="AZ973" s="6">
        <v>216.3</v>
      </c>
      <c r="BA973" s="6"/>
      <c r="BB973" s="6">
        <v>-62.6</v>
      </c>
    </row>
    <row r="974" spans="32:54">
      <c r="AF974">
        <f t="shared" si="54"/>
        <v>0</v>
      </c>
      <c r="AG974" t="str">
        <f t="shared" si="55"/>
        <v>CCl₄ (g)</v>
      </c>
      <c r="AH974" t="s">
        <v>3370</v>
      </c>
      <c r="AI974" t="s">
        <v>3371</v>
      </c>
      <c r="AJ974" t="s">
        <v>3371</v>
      </c>
      <c r="AL974" t="s">
        <v>3372</v>
      </c>
      <c r="AS974" t="s">
        <v>47</v>
      </c>
      <c r="AX974" s="6">
        <v>153.82</v>
      </c>
      <c r="AY974" s="6" t="s">
        <v>3374</v>
      </c>
      <c r="AZ974" s="6">
        <v>310</v>
      </c>
      <c r="BA974" s="6"/>
      <c r="BB974" s="6">
        <v>-53.56</v>
      </c>
    </row>
    <row r="975" spans="32:54">
      <c r="AF975">
        <f t="shared" si="54"/>
        <v>0</v>
      </c>
      <c r="AG975" t="str">
        <f t="shared" si="55"/>
        <v>CCl₃CCl₃ (g)</v>
      </c>
      <c r="AH975" t="s">
        <v>3375</v>
      </c>
      <c r="AI975" t="s">
        <v>3376</v>
      </c>
      <c r="AJ975" t="s">
        <v>3376</v>
      </c>
      <c r="AL975" t="s">
        <v>3377</v>
      </c>
      <c r="AS975" t="s">
        <v>47</v>
      </c>
      <c r="AX975" s="6">
        <v>236.74</v>
      </c>
      <c r="AY975" s="6" t="s">
        <v>3378</v>
      </c>
      <c r="AZ975" s="6">
        <v>398.8</v>
      </c>
      <c r="BA975" s="6"/>
      <c r="BB975" s="6">
        <v>-54.92</v>
      </c>
    </row>
    <row r="976" spans="32:54">
      <c r="AF976">
        <f t="shared" si="54"/>
        <v>0</v>
      </c>
      <c r="AG976" t="str">
        <f t="shared" si="55"/>
        <v>C₆Cl₆ (s)</v>
      </c>
      <c r="AH976" t="s">
        <v>3379</v>
      </c>
      <c r="AI976" t="s">
        <v>3380</v>
      </c>
      <c r="AJ976" t="s">
        <v>3380</v>
      </c>
      <c r="AL976" t="s">
        <v>3381</v>
      </c>
      <c r="AS976" t="s">
        <v>160</v>
      </c>
      <c r="AX976" s="6">
        <v>284.77999999999997</v>
      </c>
      <c r="AY976" s="6" t="s">
        <v>3382</v>
      </c>
      <c r="AZ976" s="6">
        <v>260.2</v>
      </c>
      <c r="BA976" s="6"/>
      <c r="BB976" s="6">
        <v>1.08</v>
      </c>
    </row>
    <row r="977" spans="32:55">
      <c r="AF977">
        <f t="shared" si="54"/>
        <v>0</v>
      </c>
      <c r="AG977" t="str">
        <f t="shared" si="55"/>
        <v>C₆Cl₆ (g)</v>
      </c>
      <c r="AH977" t="s">
        <v>3379</v>
      </c>
      <c r="AI977" t="s">
        <v>3380</v>
      </c>
      <c r="AJ977" t="s">
        <v>3380</v>
      </c>
      <c r="AL977" t="s">
        <v>3381</v>
      </c>
      <c r="AS977" t="s">
        <v>47</v>
      </c>
      <c r="AX977" s="6">
        <v>284.77999999999997</v>
      </c>
      <c r="AY977" s="6" t="s">
        <v>3383</v>
      </c>
      <c r="AZ977" s="6">
        <v>441.3</v>
      </c>
      <c r="BA977" s="6"/>
      <c r="BB977" s="6">
        <v>44.18</v>
      </c>
    </row>
    <row r="978" spans="32:55">
      <c r="AF978">
        <f t="shared" si="54"/>
        <v>0</v>
      </c>
      <c r="AG978" t="str">
        <f t="shared" si="55"/>
        <v/>
      </c>
      <c r="AH978" t="s">
        <v>3384</v>
      </c>
      <c r="AI978" t="s">
        <v>3385</v>
      </c>
      <c r="AJ978" t="s">
        <v>3385</v>
      </c>
      <c r="AK978" t="s">
        <v>3386</v>
      </c>
      <c r="AL978" t="s">
        <v>3387</v>
      </c>
      <c r="AS978" t="s">
        <v>220</v>
      </c>
      <c r="AX978" s="6">
        <v>290.83</v>
      </c>
      <c r="AY978" s="6" t="s">
        <v>168</v>
      </c>
      <c r="AZ978" s="6" t="s">
        <v>168</v>
      </c>
      <c r="BA978" s="6"/>
      <c r="BB978" s="6" t="s">
        <v>168</v>
      </c>
      <c r="BC978" s="6"/>
    </row>
    <row r="979" spans="32:55">
      <c r="AF979">
        <f t="shared" si="54"/>
        <v>0</v>
      </c>
      <c r="AG979" t="str">
        <f t="shared" si="55"/>
        <v/>
      </c>
      <c r="AH979" t="s">
        <v>3388</v>
      </c>
      <c r="AI979" t="s">
        <v>3389</v>
      </c>
      <c r="AJ979" t="s">
        <v>3389</v>
      </c>
      <c r="AK979" t="s">
        <v>3390</v>
      </c>
      <c r="AL979" t="s">
        <v>3391</v>
      </c>
      <c r="AS979" t="s">
        <v>220</v>
      </c>
      <c r="AX979" s="6">
        <v>354.51</v>
      </c>
      <c r="AY979" s="6" t="s">
        <v>168</v>
      </c>
      <c r="AZ979" s="6" t="s">
        <v>168</v>
      </c>
      <c r="BA979" s="6"/>
      <c r="BB979" s="6" t="s">
        <v>168</v>
      </c>
      <c r="BC979" s="6"/>
    </row>
    <row r="980" spans="32:55">
      <c r="AF980">
        <f t="shared" si="54"/>
        <v>0</v>
      </c>
      <c r="AG980" t="str">
        <f t="shared" si="55"/>
        <v>CHClF₂ (g)</v>
      </c>
      <c r="AH980" t="s">
        <v>3392</v>
      </c>
      <c r="AI980" t="s">
        <v>3393</v>
      </c>
      <c r="AJ980" t="s">
        <v>3393</v>
      </c>
      <c r="AK980" t="s">
        <v>3394</v>
      </c>
      <c r="AL980" t="s">
        <v>3395</v>
      </c>
      <c r="AS980" t="s">
        <v>47</v>
      </c>
      <c r="AX980" s="6">
        <v>86.47</v>
      </c>
      <c r="AY980" s="6" t="s">
        <v>3396</v>
      </c>
      <c r="AZ980" s="6">
        <v>280.89999999999998</v>
      </c>
      <c r="BA980" s="6"/>
      <c r="BB980" s="6">
        <v>-452.29</v>
      </c>
    </row>
    <row r="981" spans="32:55">
      <c r="AF981">
        <f t="shared" si="54"/>
        <v>0</v>
      </c>
      <c r="AG981" t="str">
        <f t="shared" si="55"/>
        <v>CF₄ (g)</v>
      </c>
      <c r="AH981" t="s">
        <v>3397</v>
      </c>
      <c r="AI981" t="s">
        <v>3398</v>
      </c>
      <c r="AJ981" t="s">
        <v>3398</v>
      </c>
      <c r="AK981" t="s">
        <v>3399</v>
      </c>
      <c r="AL981" t="s">
        <v>3400</v>
      </c>
      <c r="AS981" t="s">
        <v>47</v>
      </c>
      <c r="AX981" s="6">
        <v>88</v>
      </c>
      <c r="AY981" s="6" t="s">
        <v>3401</v>
      </c>
      <c r="AZ981" s="6">
        <v>261.60000000000002</v>
      </c>
      <c r="BA981" s="6"/>
      <c r="BB981" s="6">
        <v>888.26</v>
      </c>
    </row>
    <row r="982" spans="32:55">
      <c r="AF982">
        <f t="shared" si="54"/>
        <v>0</v>
      </c>
      <c r="AG982" t="str">
        <f t="shared" si="55"/>
        <v>CF₂=CF₂ (g)</v>
      </c>
      <c r="AH982" t="s">
        <v>3402</v>
      </c>
      <c r="AI982" t="s">
        <v>3403</v>
      </c>
      <c r="AJ982" t="s">
        <v>3403</v>
      </c>
      <c r="AL982" t="s">
        <v>3404</v>
      </c>
      <c r="AS982" t="s">
        <v>47</v>
      </c>
      <c r="AX982" s="6">
        <v>100.02</v>
      </c>
      <c r="AY982" s="6" t="s">
        <v>3405</v>
      </c>
      <c r="AZ982" s="6">
        <v>300</v>
      </c>
      <c r="BA982" s="6"/>
      <c r="BB982" s="6">
        <v>-623.71</v>
      </c>
    </row>
    <row r="983" spans="32:55">
      <c r="AF983">
        <f t="shared" si="54"/>
        <v>0</v>
      </c>
      <c r="AG983" t="str">
        <f t="shared" si="55"/>
        <v>CHCl₂F (g)</v>
      </c>
      <c r="AH983" t="s">
        <v>3406</v>
      </c>
      <c r="AI983" t="s">
        <v>3407</v>
      </c>
      <c r="AJ983" t="s">
        <v>3407</v>
      </c>
      <c r="AK983" t="s">
        <v>3408</v>
      </c>
      <c r="AL983" t="s">
        <v>3409</v>
      </c>
      <c r="AS983" t="s">
        <v>47</v>
      </c>
      <c r="AX983" s="6">
        <v>102.92</v>
      </c>
      <c r="AY983" s="6" t="s">
        <v>3410</v>
      </c>
      <c r="AZ983" s="6">
        <v>293.10000000000002</v>
      </c>
      <c r="BA983" s="6"/>
      <c r="BB983" s="6">
        <v>-254.26</v>
      </c>
    </row>
    <row r="984" spans="32:55">
      <c r="AF984">
        <f t="shared" si="54"/>
        <v>0</v>
      </c>
      <c r="AG984" t="str">
        <f t="shared" si="55"/>
        <v>CClF₃ (g)</v>
      </c>
      <c r="AH984" t="s">
        <v>3411</v>
      </c>
      <c r="AI984" t="s">
        <v>3412</v>
      </c>
      <c r="AJ984" t="s">
        <v>3412</v>
      </c>
      <c r="AK984" t="s">
        <v>3413</v>
      </c>
      <c r="AL984" t="s">
        <v>3414</v>
      </c>
      <c r="AS984" t="s">
        <v>47</v>
      </c>
      <c r="AX984" s="6">
        <v>104.46</v>
      </c>
      <c r="AY984" s="6" t="s">
        <v>3415</v>
      </c>
      <c r="AZ984" s="6" t="s">
        <v>168</v>
      </c>
      <c r="BA984" s="6"/>
      <c r="BB984" s="6" t="s">
        <v>168</v>
      </c>
      <c r="BC984" s="6"/>
    </row>
    <row r="985" spans="32:55">
      <c r="AF985">
        <f t="shared" si="54"/>
        <v>0</v>
      </c>
      <c r="AG985" t="str">
        <f t="shared" si="55"/>
        <v>CCl₂F₂ (g)</v>
      </c>
      <c r="AH985" t="s">
        <v>3416</v>
      </c>
      <c r="AI985" t="s">
        <v>3417</v>
      </c>
      <c r="AJ985" t="s">
        <v>3417</v>
      </c>
      <c r="AK985" t="s">
        <v>3418</v>
      </c>
      <c r="AL985" t="s">
        <v>3419</v>
      </c>
      <c r="AS985" t="s">
        <v>47</v>
      </c>
      <c r="AX985" s="6">
        <v>120.92</v>
      </c>
      <c r="AY985" s="6" t="s">
        <v>3420</v>
      </c>
      <c r="AZ985" s="6">
        <v>300.8</v>
      </c>
      <c r="BA985" s="6"/>
      <c r="BB985" s="6">
        <v>-439.4</v>
      </c>
    </row>
    <row r="986" spans="32:55">
      <c r="AF986">
        <f t="shared" si="54"/>
        <v>0</v>
      </c>
      <c r="AG986" t="str">
        <f t="shared" si="55"/>
        <v/>
      </c>
      <c r="AH986" t="s">
        <v>3421</v>
      </c>
      <c r="AI986" t="s">
        <v>3422</v>
      </c>
      <c r="AJ986" t="s">
        <v>3422</v>
      </c>
      <c r="AK986" t="s">
        <v>3423</v>
      </c>
      <c r="AL986" t="s">
        <v>3424</v>
      </c>
      <c r="AS986" t="s">
        <v>220</v>
      </c>
      <c r="AX986" s="6">
        <v>152.93</v>
      </c>
      <c r="AY986" s="6" t="s">
        <v>168</v>
      </c>
      <c r="AZ986" s="6" t="s">
        <v>168</v>
      </c>
      <c r="BA986" s="6"/>
      <c r="BB986" s="6" t="s">
        <v>168</v>
      </c>
      <c r="BC986" s="6"/>
    </row>
    <row r="987" spans="32:55">
      <c r="AF987">
        <f t="shared" si="54"/>
        <v>0</v>
      </c>
      <c r="AG987" t="str">
        <f t="shared" si="55"/>
        <v>CFCl₂CFCl₂ (l)</v>
      </c>
      <c r="AH987" t="s">
        <v>3425</v>
      </c>
      <c r="AI987" t="s">
        <v>3426</v>
      </c>
      <c r="AJ987" t="s">
        <v>3426</v>
      </c>
      <c r="AK987" t="s">
        <v>3427</v>
      </c>
      <c r="AL987" t="s">
        <v>3428</v>
      </c>
      <c r="AS987" t="s">
        <v>239</v>
      </c>
      <c r="AX987" s="6">
        <v>203.83</v>
      </c>
      <c r="AY987" s="6" t="s">
        <v>168</v>
      </c>
      <c r="AZ987" s="6" t="s">
        <v>168</v>
      </c>
      <c r="BA987" s="6"/>
      <c r="BB987" s="6" t="s">
        <v>168</v>
      </c>
      <c r="BC987" s="6"/>
    </row>
    <row r="988" spans="32:55">
      <c r="AF988">
        <f t="shared" si="54"/>
        <v>0</v>
      </c>
      <c r="AG988" t="str">
        <f t="shared" si="55"/>
        <v>CH₃Br (g)</v>
      </c>
      <c r="AH988" t="s">
        <v>3429</v>
      </c>
      <c r="AI988" t="s">
        <v>3430</v>
      </c>
      <c r="AJ988" t="s">
        <v>3430</v>
      </c>
      <c r="AL988" t="s">
        <v>3431</v>
      </c>
      <c r="AS988" t="s">
        <v>47</v>
      </c>
      <c r="AX988" s="6">
        <v>94.94</v>
      </c>
      <c r="AY988" s="6" t="s">
        <v>3432</v>
      </c>
      <c r="AZ988" s="6">
        <v>246.4</v>
      </c>
      <c r="BA988" s="6"/>
      <c r="BB988" s="6">
        <v>-26.3</v>
      </c>
    </row>
    <row r="989" spans="32:55">
      <c r="AF989">
        <f t="shared" si="54"/>
        <v>0</v>
      </c>
      <c r="AG989" t="str">
        <f t="shared" si="55"/>
        <v>CH₃CH₂Br (l)</v>
      </c>
      <c r="AH989" t="s">
        <v>3433</v>
      </c>
      <c r="AI989" t="s">
        <v>3434</v>
      </c>
      <c r="AJ989" t="s">
        <v>3434</v>
      </c>
      <c r="AL989" t="s">
        <v>3435</v>
      </c>
      <c r="AS989" t="s">
        <v>239</v>
      </c>
      <c r="AX989" s="6">
        <v>108.97</v>
      </c>
      <c r="AY989" s="6" t="s">
        <v>1705</v>
      </c>
      <c r="AZ989" s="6">
        <v>198.7</v>
      </c>
      <c r="BA989" s="6"/>
      <c r="BB989" s="6">
        <v>-25.8</v>
      </c>
    </row>
    <row r="990" spans="32:55">
      <c r="AF990">
        <f t="shared" si="54"/>
        <v>0</v>
      </c>
      <c r="AG990" t="str">
        <f t="shared" si="55"/>
        <v>CH₃CH₂Br (g)</v>
      </c>
      <c r="AH990" t="s">
        <v>3433</v>
      </c>
      <c r="AI990" t="s">
        <v>3434</v>
      </c>
      <c r="AJ990" t="s">
        <v>3434</v>
      </c>
      <c r="AL990" t="s">
        <v>3435</v>
      </c>
      <c r="AS990" t="s">
        <v>47</v>
      </c>
      <c r="AX990" s="6">
        <v>108.97</v>
      </c>
      <c r="AY990" s="6" t="s">
        <v>3436</v>
      </c>
      <c r="AZ990" s="6">
        <v>286.7</v>
      </c>
      <c r="BA990" s="6"/>
      <c r="BB990" s="6">
        <v>-23.9</v>
      </c>
    </row>
    <row r="991" spans="32:55">
      <c r="AF991">
        <f t="shared" si="54"/>
        <v>0</v>
      </c>
      <c r="AG991" t="str">
        <f t="shared" si="55"/>
        <v>CH₃CH₂CH₂Br (g)</v>
      </c>
      <c r="AH991" t="s">
        <v>3437</v>
      </c>
      <c r="AI991" t="s">
        <v>3438</v>
      </c>
      <c r="AJ991" t="s">
        <v>3438</v>
      </c>
      <c r="AL991" t="s">
        <v>3439</v>
      </c>
      <c r="AS991" t="s">
        <v>47</v>
      </c>
      <c r="AX991" s="6">
        <v>122.99</v>
      </c>
      <c r="AY991" s="6" t="s">
        <v>3440</v>
      </c>
      <c r="AZ991" s="6">
        <v>330.9</v>
      </c>
      <c r="BA991" s="6"/>
      <c r="BB991" s="6">
        <v>-22.47</v>
      </c>
    </row>
    <row r="992" spans="32:55">
      <c r="AF992">
        <f t="shared" si="54"/>
        <v>0</v>
      </c>
      <c r="AG992" t="str">
        <f t="shared" si="55"/>
        <v>CH₃CHBrCH₃ (g)</v>
      </c>
      <c r="AH992" t="s">
        <v>3441</v>
      </c>
      <c r="AI992" t="s">
        <v>3442</v>
      </c>
      <c r="AJ992" t="s">
        <v>3442</v>
      </c>
      <c r="AL992" t="s">
        <v>3443</v>
      </c>
      <c r="AS992" t="s">
        <v>47</v>
      </c>
      <c r="AX992" s="6">
        <v>122.99</v>
      </c>
      <c r="AY992" s="6" t="s">
        <v>3444</v>
      </c>
      <c r="AZ992" s="6">
        <v>316.10000000000002</v>
      </c>
      <c r="BA992" s="6"/>
      <c r="BB992" s="6">
        <v>-27.21</v>
      </c>
    </row>
    <row r="993" spans="32:55">
      <c r="AF993">
        <f t="shared" si="54"/>
        <v>0</v>
      </c>
      <c r="AG993" t="str">
        <f t="shared" si="55"/>
        <v>(CH₃)₃CBr (g)</v>
      </c>
      <c r="AH993" t="s">
        <v>3445</v>
      </c>
      <c r="AI993" t="s">
        <v>3446</v>
      </c>
      <c r="AJ993" t="s">
        <v>3447</v>
      </c>
      <c r="AL993" t="s">
        <v>3448</v>
      </c>
      <c r="AS993" t="s">
        <v>47</v>
      </c>
      <c r="AX993" s="6">
        <v>137.02000000000001</v>
      </c>
      <c r="AY993" s="6" t="s">
        <v>3449</v>
      </c>
      <c r="AZ993" s="6">
        <v>332</v>
      </c>
      <c r="BA993" s="6"/>
      <c r="BB993" s="6">
        <v>-28.13</v>
      </c>
    </row>
    <row r="994" spans="32:55">
      <c r="AF994">
        <f t="shared" si="54"/>
        <v>0</v>
      </c>
      <c r="AG994" t="str">
        <f t="shared" si="55"/>
        <v/>
      </c>
      <c r="AH994" t="s">
        <v>3450</v>
      </c>
      <c r="AI994" t="s">
        <v>3451</v>
      </c>
      <c r="AJ994" t="s">
        <v>3452</v>
      </c>
      <c r="AL994" t="s">
        <v>3453</v>
      </c>
      <c r="AS994" t="s">
        <v>220</v>
      </c>
      <c r="AX994" s="6">
        <v>137.02000000000001</v>
      </c>
      <c r="AY994" s="6" t="s">
        <v>168</v>
      </c>
      <c r="AZ994" s="6" t="s">
        <v>168</v>
      </c>
      <c r="BA994" s="6"/>
      <c r="BB994" s="6" t="s">
        <v>168</v>
      </c>
      <c r="BC994" s="6"/>
    </row>
    <row r="995" spans="32:55">
      <c r="AF995">
        <f t="shared" si="54"/>
        <v>0</v>
      </c>
      <c r="AG995" t="str">
        <f t="shared" si="55"/>
        <v>CH₃(CH₂)₂CH₂Br (g)</v>
      </c>
      <c r="AH995" t="s">
        <v>3454</v>
      </c>
      <c r="AI995" t="s">
        <v>3455</v>
      </c>
      <c r="AJ995" t="s">
        <v>3456</v>
      </c>
      <c r="AL995" t="s">
        <v>3457</v>
      </c>
      <c r="AS995" t="s">
        <v>47</v>
      </c>
      <c r="AX995" s="6">
        <v>137.02000000000001</v>
      </c>
      <c r="AY995" s="6" t="s">
        <v>3458</v>
      </c>
      <c r="AZ995" s="6">
        <v>369.9</v>
      </c>
      <c r="BA995" s="6"/>
      <c r="BB995" s="6">
        <v>-12.86</v>
      </c>
    </row>
    <row r="996" spans="32:55">
      <c r="AF996">
        <f t="shared" si="54"/>
        <v>0</v>
      </c>
      <c r="AG996" t="str">
        <f t="shared" si="55"/>
        <v>CH₃CH₂CHBrCH₃ (g)</v>
      </c>
      <c r="AH996" t="s">
        <v>3459</v>
      </c>
      <c r="AI996" t="s">
        <v>3460</v>
      </c>
      <c r="AJ996" t="s">
        <v>3460</v>
      </c>
      <c r="AL996" t="s">
        <v>3461</v>
      </c>
      <c r="AS996" t="s">
        <v>47</v>
      </c>
      <c r="AX996" s="6">
        <v>137.02000000000001</v>
      </c>
      <c r="AY996" s="6" t="s">
        <v>3462</v>
      </c>
      <c r="AZ996" s="6">
        <v>370.3</v>
      </c>
      <c r="BA996" s="6"/>
      <c r="BB996" s="6">
        <v>-25.74</v>
      </c>
    </row>
    <row r="997" spans="32:55">
      <c r="AF997">
        <f t="shared" si="54"/>
        <v>0</v>
      </c>
      <c r="AG997" t="str">
        <f t="shared" si="55"/>
        <v>CH₃CH₂CHBrCH₃ (l)</v>
      </c>
      <c r="AH997" t="s">
        <v>3459</v>
      </c>
      <c r="AI997" t="s">
        <v>3460</v>
      </c>
      <c r="AJ997" t="s">
        <v>3460</v>
      </c>
      <c r="AL997" t="s">
        <v>3461</v>
      </c>
      <c r="AS997" t="s">
        <v>239</v>
      </c>
      <c r="AX997" s="6">
        <v>137.02000000000001</v>
      </c>
      <c r="AY997" s="6" t="s">
        <v>3463</v>
      </c>
      <c r="AZ997" s="6" t="s">
        <v>168</v>
      </c>
      <c r="BA997" s="6"/>
      <c r="BB997" s="6">
        <v>-19.21</v>
      </c>
    </row>
    <row r="998" spans="32:55">
      <c r="AF998">
        <f t="shared" si="54"/>
        <v>0</v>
      </c>
      <c r="AG998" t="str">
        <f t="shared" si="55"/>
        <v>C₆H₅Br (l)</v>
      </c>
      <c r="AH998" t="s">
        <v>3464</v>
      </c>
      <c r="AI998" t="s">
        <v>3465</v>
      </c>
      <c r="AJ998" t="s">
        <v>3465</v>
      </c>
      <c r="AL998" t="s">
        <v>3466</v>
      </c>
      <c r="AS998" t="s">
        <v>239</v>
      </c>
      <c r="AX998" s="6">
        <v>157.01</v>
      </c>
      <c r="AY998" s="6" t="s">
        <v>3467</v>
      </c>
      <c r="AZ998" s="6">
        <v>219.2</v>
      </c>
      <c r="BA998" s="6"/>
      <c r="BB998" s="6">
        <v>126.04</v>
      </c>
    </row>
    <row r="999" spans="32:55">
      <c r="AF999">
        <f t="shared" si="54"/>
        <v>0</v>
      </c>
      <c r="AG999" t="str">
        <f t="shared" si="55"/>
        <v>CH₂Br₂ (g)</v>
      </c>
      <c r="AH999" t="s">
        <v>3468</v>
      </c>
      <c r="AI999" t="s">
        <v>3469</v>
      </c>
      <c r="AJ999" t="s">
        <v>3469</v>
      </c>
      <c r="AL999" t="s">
        <v>3470</v>
      </c>
      <c r="AS999" t="s">
        <v>47</v>
      </c>
      <c r="AX999" s="6">
        <v>173.83</v>
      </c>
      <c r="AY999" s="6" t="s">
        <v>3471</v>
      </c>
      <c r="AZ999" s="6">
        <v>293.2</v>
      </c>
      <c r="BA999" s="6"/>
      <c r="BB999" s="6">
        <v>-16.190000000000001</v>
      </c>
    </row>
    <row r="1000" spans="32:55">
      <c r="AF1000">
        <f t="shared" si="54"/>
        <v>0</v>
      </c>
      <c r="AG1000" t="str">
        <f t="shared" si="55"/>
        <v>CHBr=CHBr (l,Z)</v>
      </c>
      <c r="AH1000" t="s">
        <v>3472</v>
      </c>
      <c r="AI1000" t="s">
        <v>3472</v>
      </c>
      <c r="AJ1000" t="s">
        <v>3472</v>
      </c>
      <c r="AL1000" t="s">
        <v>3473</v>
      </c>
      <c r="AS1000" t="s">
        <v>5807</v>
      </c>
      <c r="AX1000" s="6">
        <v>185.85</v>
      </c>
      <c r="AY1000" s="6" t="s">
        <v>168</v>
      </c>
      <c r="AZ1000" s="6">
        <v>311.3</v>
      </c>
      <c r="BA1000" s="6"/>
      <c r="BB1000" s="6" t="s">
        <v>168</v>
      </c>
      <c r="BC1000" s="6"/>
    </row>
    <row r="1001" spans="32:55">
      <c r="AF1001">
        <f t="shared" si="54"/>
        <v>0</v>
      </c>
      <c r="AG1001" t="str">
        <f t="shared" si="55"/>
        <v>CHBr=CHBr (l,E)</v>
      </c>
      <c r="AH1001" t="s">
        <v>3472</v>
      </c>
      <c r="AI1001" t="s">
        <v>3472</v>
      </c>
      <c r="AJ1001" t="s">
        <v>3472</v>
      </c>
      <c r="AL1001" t="s">
        <v>3474</v>
      </c>
      <c r="AS1001" t="s">
        <v>5806</v>
      </c>
      <c r="AX1001" s="6">
        <v>185.85</v>
      </c>
      <c r="AY1001" s="6" t="s">
        <v>168</v>
      </c>
      <c r="AZ1001" s="6">
        <v>313.5</v>
      </c>
      <c r="BA1001" s="6"/>
      <c r="BB1001" s="6" t="s">
        <v>168</v>
      </c>
      <c r="BC1001" s="6"/>
    </row>
    <row r="1002" spans="32:55">
      <c r="AF1002">
        <f t="shared" si="54"/>
        <v>0</v>
      </c>
      <c r="AG1002" t="str">
        <f t="shared" si="55"/>
        <v>CH₃CHBr₂ (l)</v>
      </c>
      <c r="AH1002" t="s">
        <v>3475</v>
      </c>
      <c r="AI1002" t="s">
        <v>3476</v>
      </c>
      <c r="AJ1002" t="s">
        <v>3476</v>
      </c>
      <c r="AL1002" t="s">
        <v>3477</v>
      </c>
      <c r="AS1002" t="s">
        <v>239</v>
      </c>
      <c r="AX1002" s="6">
        <v>187.86</v>
      </c>
      <c r="AY1002" s="6" t="s">
        <v>3478</v>
      </c>
      <c r="AZ1002" s="6" t="s">
        <v>168</v>
      </c>
      <c r="BA1002" s="6"/>
      <c r="BB1002" s="6" t="s">
        <v>168</v>
      </c>
      <c r="BC1002" s="6"/>
    </row>
    <row r="1003" spans="32:55">
      <c r="AF1003">
        <f t="shared" si="54"/>
        <v>0</v>
      </c>
      <c r="AG1003" t="str">
        <f t="shared" si="55"/>
        <v>CH₂BrCH₂Br (l)</v>
      </c>
      <c r="AH1003" t="s">
        <v>3479</v>
      </c>
      <c r="AI1003" t="s">
        <v>3480</v>
      </c>
      <c r="AJ1003" t="s">
        <v>3480</v>
      </c>
      <c r="AL1003" t="s">
        <v>3481</v>
      </c>
      <c r="AS1003" t="s">
        <v>239</v>
      </c>
      <c r="AX1003" s="6">
        <v>187.86</v>
      </c>
      <c r="AY1003" s="6" t="s">
        <v>3482</v>
      </c>
      <c r="AZ1003" s="6">
        <v>223.3</v>
      </c>
      <c r="BA1003" s="6"/>
      <c r="BB1003" s="6">
        <v>-20.9</v>
      </c>
    </row>
    <row r="1004" spans="32:55">
      <c r="AF1004">
        <f t="shared" si="54"/>
        <v>0</v>
      </c>
      <c r="AG1004" t="str">
        <f t="shared" si="55"/>
        <v/>
      </c>
      <c r="AH1004" t="s">
        <v>3483</v>
      </c>
      <c r="AI1004" t="s">
        <v>3484</v>
      </c>
      <c r="AJ1004" t="s">
        <v>3484</v>
      </c>
      <c r="AL1004" t="s">
        <v>3485</v>
      </c>
      <c r="AS1004" t="s">
        <v>220</v>
      </c>
      <c r="AX1004" s="6">
        <v>235.91</v>
      </c>
      <c r="AY1004" s="6" t="s">
        <v>168</v>
      </c>
      <c r="AZ1004" s="6" t="s">
        <v>168</v>
      </c>
      <c r="BA1004" s="6"/>
      <c r="BB1004" s="6" t="s">
        <v>168</v>
      </c>
      <c r="BC1004" s="6"/>
    </row>
    <row r="1005" spans="32:55">
      <c r="AF1005">
        <f t="shared" si="54"/>
        <v>0</v>
      </c>
      <c r="AG1005" t="str">
        <f t="shared" si="55"/>
        <v/>
      </c>
      <c r="AH1005" t="s">
        <v>3483</v>
      </c>
      <c r="AI1005" t="s">
        <v>3484</v>
      </c>
      <c r="AJ1005" t="s">
        <v>3484</v>
      </c>
      <c r="AL1005" t="s">
        <v>3486</v>
      </c>
      <c r="AS1005" t="s">
        <v>220</v>
      </c>
      <c r="AX1005" s="6">
        <v>235.91</v>
      </c>
      <c r="AY1005" s="6" t="s">
        <v>168</v>
      </c>
      <c r="AZ1005" s="6" t="s">
        <v>168</v>
      </c>
      <c r="BA1005" s="6"/>
      <c r="BB1005" s="6" t="s">
        <v>168</v>
      </c>
      <c r="BC1005" s="6"/>
    </row>
    <row r="1006" spans="32:55">
      <c r="AF1006">
        <f t="shared" si="54"/>
        <v>0</v>
      </c>
      <c r="AG1006" t="str">
        <f t="shared" si="55"/>
        <v/>
      </c>
      <c r="AH1006" t="s">
        <v>3483</v>
      </c>
      <c r="AI1006" t="s">
        <v>3484</v>
      </c>
      <c r="AJ1006" t="s">
        <v>3484</v>
      </c>
      <c r="AL1006" t="s">
        <v>3487</v>
      </c>
      <c r="AS1006" t="s">
        <v>220</v>
      </c>
      <c r="AX1006" s="6">
        <v>235.91</v>
      </c>
      <c r="AY1006" s="6" t="s">
        <v>168</v>
      </c>
      <c r="AZ1006" s="6" t="s">
        <v>168</v>
      </c>
      <c r="BA1006" s="6"/>
      <c r="BB1006" s="6" t="s">
        <v>168</v>
      </c>
      <c r="BC1006" s="6"/>
    </row>
    <row r="1007" spans="32:55">
      <c r="AF1007">
        <f t="shared" si="54"/>
        <v>0</v>
      </c>
      <c r="AG1007" t="str">
        <f t="shared" si="55"/>
        <v>CHBr₃ (g)</v>
      </c>
      <c r="AH1007" t="s">
        <v>3488</v>
      </c>
      <c r="AI1007" t="s">
        <v>3489</v>
      </c>
      <c r="AJ1007" t="s">
        <v>3489</v>
      </c>
      <c r="AK1007" t="s">
        <v>3490</v>
      </c>
      <c r="AL1007" t="s">
        <v>3491</v>
      </c>
      <c r="AS1007" t="s">
        <v>47</v>
      </c>
      <c r="AX1007" s="6">
        <v>252.73</v>
      </c>
      <c r="AY1007" s="6" t="s">
        <v>3492</v>
      </c>
      <c r="AZ1007" s="6">
        <v>330.9</v>
      </c>
      <c r="BA1007" s="6"/>
      <c r="BB1007" s="6">
        <v>8</v>
      </c>
    </row>
    <row r="1008" spans="32:55">
      <c r="AF1008">
        <f t="shared" si="54"/>
        <v>0</v>
      </c>
      <c r="AG1008" t="str">
        <f t="shared" si="55"/>
        <v>CBr₄ (g)</v>
      </c>
      <c r="AH1008" t="s">
        <v>3493</v>
      </c>
      <c r="AI1008" t="s">
        <v>3494</v>
      </c>
      <c r="AJ1008" t="s">
        <v>3494</v>
      </c>
      <c r="AL1008" t="s">
        <v>3495</v>
      </c>
      <c r="AS1008" t="s">
        <v>47</v>
      </c>
      <c r="AX1008" s="6">
        <v>331.65</v>
      </c>
      <c r="AY1008" s="6" t="s">
        <v>3496</v>
      </c>
      <c r="AZ1008" s="6">
        <v>358.1</v>
      </c>
      <c r="BA1008" s="6"/>
      <c r="BB1008" s="6">
        <v>67</v>
      </c>
    </row>
    <row r="1009" spans="32:55">
      <c r="AF1009">
        <f t="shared" si="54"/>
        <v>0</v>
      </c>
      <c r="AG1009" t="str">
        <f t="shared" si="55"/>
        <v/>
      </c>
      <c r="AH1009" t="s">
        <v>3497</v>
      </c>
      <c r="AI1009" t="s">
        <v>3498</v>
      </c>
      <c r="AJ1009" t="s">
        <v>3498</v>
      </c>
      <c r="AL1009" t="s">
        <v>3499</v>
      </c>
      <c r="AS1009" t="s">
        <v>220</v>
      </c>
      <c r="AX1009" s="6">
        <v>345.65</v>
      </c>
      <c r="AY1009" s="6" t="s">
        <v>168</v>
      </c>
      <c r="AZ1009" s="6" t="s">
        <v>168</v>
      </c>
      <c r="BA1009" s="6"/>
      <c r="BB1009" s="6" t="s">
        <v>168</v>
      </c>
      <c r="BC1009" s="6"/>
    </row>
    <row r="1010" spans="32:55">
      <c r="AF1010">
        <f t="shared" si="54"/>
        <v>0</v>
      </c>
      <c r="AG1010" t="str">
        <f t="shared" si="55"/>
        <v>CH₃I (l)</v>
      </c>
      <c r="AH1010" t="s">
        <v>3500</v>
      </c>
      <c r="AI1010" t="s">
        <v>3501</v>
      </c>
      <c r="AJ1010" t="s">
        <v>3501</v>
      </c>
      <c r="AL1010" t="s">
        <v>3502</v>
      </c>
      <c r="AS1010" t="s">
        <v>239</v>
      </c>
      <c r="AX1010" s="6">
        <v>141.94</v>
      </c>
      <c r="AY1010" s="6" t="s">
        <v>3503</v>
      </c>
      <c r="AZ1010" s="6">
        <v>163.19999999999999</v>
      </c>
      <c r="BA1010" s="6"/>
      <c r="BB1010" s="6">
        <v>15.1</v>
      </c>
    </row>
    <row r="1011" spans="32:55">
      <c r="AF1011">
        <f t="shared" si="54"/>
        <v>0</v>
      </c>
      <c r="AG1011" t="str">
        <f t="shared" si="55"/>
        <v>CH₃I (g)</v>
      </c>
      <c r="AH1011" t="s">
        <v>3500</v>
      </c>
      <c r="AI1011" t="s">
        <v>3501</v>
      </c>
      <c r="AJ1011" t="s">
        <v>3501</v>
      </c>
      <c r="AL1011" t="s">
        <v>3502</v>
      </c>
      <c r="AS1011" t="s">
        <v>47</v>
      </c>
      <c r="AX1011" s="6">
        <v>141.94</v>
      </c>
      <c r="AY1011" s="6" t="s">
        <v>3504</v>
      </c>
      <c r="AZ1011" s="6">
        <v>254.1</v>
      </c>
      <c r="BA1011" s="6"/>
      <c r="BB1011" s="6">
        <v>15.56</v>
      </c>
    </row>
    <row r="1012" spans="32:55">
      <c r="AF1012">
        <f t="shared" si="54"/>
        <v>0</v>
      </c>
      <c r="AG1012" t="str">
        <f t="shared" si="55"/>
        <v>CH₃CH₂I (l)</v>
      </c>
      <c r="AH1012" t="s">
        <v>3505</v>
      </c>
      <c r="AI1012" t="s">
        <v>3506</v>
      </c>
      <c r="AJ1012" t="s">
        <v>3506</v>
      </c>
      <c r="AL1012" t="s">
        <v>3507</v>
      </c>
      <c r="AS1012" t="s">
        <v>239</v>
      </c>
      <c r="AX1012" s="6">
        <v>155.97</v>
      </c>
      <c r="AY1012" s="6" t="s">
        <v>3508</v>
      </c>
      <c r="AZ1012" s="6">
        <v>211.7</v>
      </c>
      <c r="BA1012" s="6"/>
      <c r="BB1012" s="6">
        <v>14.64</v>
      </c>
    </row>
    <row r="1013" spans="32:55">
      <c r="AF1013">
        <f t="shared" si="54"/>
        <v>0</v>
      </c>
      <c r="AG1013" t="str">
        <f t="shared" si="55"/>
        <v>CH₃CH₂I (g)</v>
      </c>
      <c r="AH1013" t="s">
        <v>3505</v>
      </c>
      <c r="AI1013" t="s">
        <v>3506</v>
      </c>
      <c r="AJ1013" t="s">
        <v>3506</v>
      </c>
      <c r="AL1013" t="s">
        <v>3507</v>
      </c>
      <c r="AS1013" t="s">
        <v>47</v>
      </c>
      <c r="AX1013" s="6">
        <v>155.97</v>
      </c>
      <c r="AY1013" s="6" t="s">
        <v>3509</v>
      </c>
      <c r="AZ1013" s="6">
        <v>264.5</v>
      </c>
      <c r="BA1013" s="6"/>
      <c r="BB1013" s="6">
        <v>21.34</v>
      </c>
    </row>
    <row r="1014" spans="32:55">
      <c r="AF1014">
        <f t="shared" si="54"/>
        <v>0</v>
      </c>
      <c r="AG1014" t="str">
        <f t="shared" si="55"/>
        <v>CH₃CH₂CHI (g)</v>
      </c>
      <c r="AH1014" t="s">
        <v>3510</v>
      </c>
      <c r="AI1014" t="s">
        <v>3511</v>
      </c>
      <c r="AJ1014" t="s">
        <v>3511</v>
      </c>
      <c r="AL1014" t="s">
        <v>3512</v>
      </c>
      <c r="AS1014" t="s">
        <v>47</v>
      </c>
      <c r="AX1014" s="6">
        <v>169.99</v>
      </c>
      <c r="AY1014" s="6" t="s">
        <v>3513</v>
      </c>
      <c r="AZ1014" s="6">
        <v>336.1</v>
      </c>
      <c r="BA1014" s="6"/>
      <c r="BB1014" s="6">
        <v>27.64</v>
      </c>
    </row>
    <row r="1015" spans="32:55">
      <c r="AF1015">
        <f t="shared" si="54"/>
        <v>0</v>
      </c>
      <c r="AG1015" t="str">
        <f t="shared" si="55"/>
        <v>CH₃CHICH₃ (g)</v>
      </c>
      <c r="AH1015" t="s">
        <v>3514</v>
      </c>
      <c r="AI1015" t="s">
        <v>3515</v>
      </c>
      <c r="AJ1015" t="s">
        <v>3515</v>
      </c>
      <c r="AL1015" t="s">
        <v>3516</v>
      </c>
      <c r="AS1015" t="s">
        <v>47</v>
      </c>
      <c r="AX1015" s="6">
        <v>169.99</v>
      </c>
      <c r="AY1015" s="6" t="s">
        <v>3517</v>
      </c>
      <c r="AZ1015" s="6">
        <v>324.5</v>
      </c>
      <c r="BA1015" s="6"/>
      <c r="BB1015" s="6">
        <v>20.12</v>
      </c>
    </row>
    <row r="1016" spans="32:55">
      <c r="AF1016">
        <f t="shared" si="54"/>
        <v>0</v>
      </c>
      <c r="AG1016" t="str">
        <f t="shared" si="55"/>
        <v/>
      </c>
      <c r="AH1016" t="s">
        <v>3518</v>
      </c>
      <c r="AI1016" t="s">
        <v>3519</v>
      </c>
      <c r="AJ1016" t="s">
        <v>3520</v>
      </c>
      <c r="AL1016" t="s">
        <v>3521</v>
      </c>
      <c r="AS1016" t="s">
        <v>220</v>
      </c>
      <c r="AX1016" s="6">
        <v>184.02</v>
      </c>
      <c r="AY1016" s="6" t="s">
        <v>168</v>
      </c>
      <c r="AZ1016" s="6" t="s">
        <v>168</v>
      </c>
      <c r="BA1016" s="6"/>
      <c r="BB1016" s="6" t="s">
        <v>168</v>
      </c>
      <c r="BC1016" s="6"/>
    </row>
    <row r="1017" spans="32:55">
      <c r="AF1017">
        <f t="shared" si="54"/>
        <v>0</v>
      </c>
      <c r="AG1017" t="str">
        <f t="shared" si="55"/>
        <v/>
      </c>
      <c r="AH1017" t="s">
        <v>3522</v>
      </c>
      <c r="AI1017" t="s">
        <v>3523</v>
      </c>
      <c r="AJ1017" t="s">
        <v>3523</v>
      </c>
      <c r="AL1017" t="s">
        <v>3524</v>
      </c>
      <c r="AS1017" t="s">
        <v>220</v>
      </c>
      <c r="AX1017" s="6">
        <v>184.02</v>
      </c>
      <c r="AY1017" s="6" t="s">
        <v>168</v>
      </c>
      <c r="AZ1017" s="6" t="s">
        <v>168</v>
      </c>
      <c r="BA1017" s="6"/>
      <c r="BB1017" s="6" t="s">
        <v>168</v>
      </c>
      <c r="BC1017" s="6"/>
    </row>
    <row r="1018" spans="32:55">
      <c r="AF1018">
        <f t="shared" si="54"/>
        <v>0</v>
      </c>
      <c r="AG1018" t="str">
        <f t="shared" si="55"/>
        <v>(CH₃)₃CI (g)</v>
      </c>
      <c r="AH1018" t="s">
        <v>3525</v>
      </c>
      <c r="AI1018" t="s">
        <v>3526</v>
      </c>
      <c r="AJ1018" t="s">
        <v>3527</v>
      </c>
      <c r="AL1018" t="s">
        <v>3528</v>
      </c>
      <c r="AS1018" t="s">
        <v>47</v>
      </c>
      <c r="AX1018" s="6">
        <v>184.02</v>
      </c>
      <c r="AY1018" s="6" t="s">
        <v>3529</v>
      </c>
      <c r="AZ1018" s="6">
        <v>342.2</v>
      </c>
      <c r="BA1018" s="6"/>
      <c r="BB1018" s="6">
        <v>23.64</v>
      </c>
    </row>
    <row r="1019" spans="32:55">
      <c r="AF1019">
        <f t="shared" si="54"/>
        <v>0</v>
      </c>
      <c r="AG1019" t="str">
        <f t="shared" si="55"/>
        <v>C₆H₅I (l)</v>
      </c>
      <c r="AH1019" t="s">
        <v>3530</v>
      </c>
      <c r="AI1019" t="s">
        <v>3531</v>
      </c>
      <c r="AJ1019" t="s">
        <v>3531</v>
      </c>
      <c r="AL1019" t="s">
        <v>3532</v>
      </c>
      <c r="AS1019" t="s">
        <v>239</v>
      </c>
      <c r="AX1019" s="6">
        <v>204.01</v>
      </c>
      <c r="AY1019" s="6" t="s">
        <v>3533</v>
      </c>
      <c r="AZ1019" s="6">
        <v>205.4</v>
      </c>
      <c r="BA1019" s="6"/>
      <c r="BB1019" s="6">
        <v>187.78</v>
      </c>
    </row>
    <row r="1020" spans="32:55">
      <c r="AF1020">
        <f t="shared" si="54"/>
        <v>0</v>
      </c>
      <c r="AG1020" t="str">
        <f t="shared" si="55"/>
        <v>CH₂I₂ (g)</v>
      </c>
      <c r="AH1020" t="s">
        <v>3534</v>
      </c>
      <c r="AI1020" t="s">
        <v>3535</v>
      </c>
      <c r="AJ1020" t="s">
        <v>3535</v>
      </c>
      <c r="AL1020" t="s">
        <v>3536</v>
      </c>
      <c r="AS1020" t="s">
        <v>47</v>
      </c>
      <c r="AX1020" s="6">
        <v>267.83999999999997</v>
      </c>
      <c r="AY1020" s="6" t="s">
        <v>3537</v>
      </c>
      <c r="AZ1020" s="6">
        <v>309.7</v>
      </c>
      <c r="BA1020" s="6"/>
      <c r="BB1020" s="6">
        <v>95.8</v>
      </c>
    </row>
    <row r="1021" spans="32:55">
      <c r="AF1021">
        <f t="shared" si="54"/>
        <v>0</v>
      </c>
      <c r="AG1021" t="str">
        <f t="shared" si="55"/>
        <v/>
      </c>
      <c r="AH1021" t="s">
        <v>3538</v>
      </c>
      <c r="AI1021" t="s">
        <v>3539</v>
      </c>
      <c r="AJ1021" t="s">
        <v>3539</v>
      </c>
      <c r="AL1021" t="s">
        <v>3540</v>
      </c>
      <c r="AS1021" t="s">
        <v>220</v>
      </c>
      <c r="AX1021" s="6">
        <v>281.86</v>
      </c>
      <c r="AY1021" s="6" t="s">
        <v>168</v>
      </c>
      <c r="AZ1021" s="6" t="s">
        <v>168</v>
      </c>
      <c r="BA1021" s="6"/>
      <c r="BB1021" s="6" t="s">
        <v>168</v>
      </c>
      <c r="BC1021" s="6"/>
    </row>
    <row r="1022" spans="32:55">
      <c r="AF1022">
        <f t="shared" si="54"/>
        <v>0</v>
      </c>
      <c r="AG1022" t="str">
        <f t="shared" si="55"/>
        <v>CH₂ICH₂I (g)</v>
      </c>
      <c r="AH1022" t="s">
        <v>3541</v>
      </c>
      <c r="AI1022" t="s">
        <v>3542</v>
      </c>
      <c r="AJ1022" t="s">
        <v>3542</v>
      </c>
      <c r="AL1022" t="s">
        <v>3543</v>
      </c>
      <c r="AS1022" t="s">
        <v>47</v>
      </c>
      <c r="AX1022" s="6">
        <v>281.86</v>
      </c>
      <c r="AY1022" s="6" t="s">
        <v>3544</v>
      </c>
      <c r="AZ1022" s="6">
        <v>348.5</v>
      </c>
      <c r="BA1022" s="6"/>
      <c r="BB1022" s="6">
        <v>78.489999999999995</v>
      </c>
    </row>
    <row r="1023" spans="32:55">
      <c r="AF1023">
        <f t="shared" si="54"/>
        <v>0</v>
      </c>
      <c r="AG1023" t="str">
        <f t="shared" si="55"/>
        <v>CHI₃ (g)</v>
      </c>
      <c r="AH1023" t="s">
        <v>3545</v>
      </c>
      <c r="AI1023" t="s">
        <v>3546</v>
      </c>
      <c r="AJ1023" t="s">
        <v>3546</v>
      </c>
      <c r="AK1023" t="s">
        <v>3547</v>
      </c>
      <c r="AL1023" t="s">
        <v>3548</v>
      </c>
      <c r="AS1023" t="s">
        <v>47</v>
      </c>
      <c r="AX1023" s="6">
        <v>393.73</v>
      </c>
      <c r="AY1023" s="6" t="s">
        <v>3549</v>
      </c>
      <c r="AZ1023" s="6">
        <v>356.2</v>
      </c>
      <c r="BA1023" s="6"/>
      <c r="BB1023" s="6">
        <v>177.99</v>
      </c>
    </row>
    <row r="1024" spans="32:55">
      <c r="AF1024">
        <f t="shared" si="54"/>
        <v>0</v>
      </c>
      <c r="AG1024" t="str">
        <f t="shared" si="55"/>
        <v>CI₄ (g)</v>
      </c>
      <c r="AH1024" t="s">
        <v>3550</v>
      </c>
      <c r="AI1024" t="s">
        <v>3551</v>
      </c>
      <c r="AJ1024" t="s">
        <v>3551</v>
      </c>
      <c r="AL1024" t="s">
        <v>3552</v>
      </c>
      <c r="AS1024" t="s">
        <v>47</v>
      </c>
      <c r="AX1024" s="6">
        <v>519.63</v>
      </c>
      <c r="AY1024" s="6" t="s">
        <v>3553</v>
      </c>
      <c r="AZ1024" s="6">
        <v>391.7</v>
      </c>
      <c r="BA1024" s="6"/>
      <c r="BB1024" s="6">
        <v>217.11</v>
      </c>
    </row>
    <row r="1025" spans="32:55">
      <c r="AF1025">
        <f t="shared" si="54"/>
        <v>0</v>
      </c>
      <c r="AG1025" t="str">
        <f t="shared" si="55"/>
        <v>CH₃NH₂ (g)</v>
      </c>
      <c r="AH1025" t="s">
        <v>3554</v>
      </c>
      <c r="AI1025" t="s">
        <v>3555</v>
      </c>
      <c r="AJ1025" t="s">
        <v>3555</v>
      </c>
      <c r="AK1025" t="s">
        <v>3556</v>
      </c>
      <c r="AL1025" t="s">
        <v>3557</v>
      </c>
      <c r="AS1025" t="s">
        <v>47</v>
      </c>
      <c r="AX1025" s="6">
        <v>31.06</v>
      </c>
      <c r="AY1025" s="6" t="s">
        <v>3558</v>
      </c>
      <c r="AZ1025" s="6">
        <v>242.9</v>
      </c>
      <c r="BA1025" s="6"/>
      <c r="BB1025" s="6">
        <v>32.700000000000003</v>
      </c>
    </row>
    <row r="1026" spans="32:55">
      <c r="AF1026">
        <f t="shared" si="54"/>
        <v>0</v>
      </c>
      <c r="AG1026" t="str">
        <f t="shared" si="55"/>
        <v>CH₃NH₂ (aq)</v>
      </c>
      <c r="AH1026" t="s">
        <v>3554</v>
      </c>
      <c r="AI1026" t="s">
        <v>3555</v>
      </c>
      <c r="AJ1026" t="s">
        <v>3555</v>
      </c>
      <c r="AL1026" t="s">
        <v>3557</v>
      </c>
      <c r="AS1026" t="s">
        <v>48</v>
      </c>
      <c r="AX1026" s="6">
        <v>31.06</v>
      </c>
      <c r="AY1026" s="6" t="s">
        <v>3559</v>
      </c>
      <c r="AZ1026" s="6">
        <v>123.4</v>
      </c>
      <c r="BA1026" s="6"/>
      <c r="BB1026" s="6">
        <v>20.72</v>
      </c>
    </row>
    <row r="1027" spans="32:55">
      <c r="AF1027">
        <f t="shared" ref="AF1027:AF1090" si="56">IF(OR(AG1027="",COUNTIF(AG:AG, AG1027) = 1),0, "1")</f>
        <v>0</v>
      </c>
      <c r="AG1027" t="str">
        <f t="shared" ref="AG1027:AG1090" si="57">IF(AS1027 &lt;&gt; "",AH1027&amp;" ("&amp;AS1027 &amp;")","")</f>
        <v>(CH₃)₂NH (g)</v>
      </c>
      <c r="AH1027" t="s">
        <v>3560</v>
      </c>
      <c r="AI1027" t="s">
        <v>3561</v>
      </c>
      <c r="AJ1027" t="s">
        <v>3562</v>
      </c>
      <c r="AL1027" t="s">
        <v>3563</v>
      </c>
      <c r="AS1027" t="s">
        <v>47</v>
      </c>
      <c r="AX1027" s="6">
        <v>45.09</v>
      </c>
      <c r="AY1027" s="6" t="s">
        <v>3564</v>
      </c>
      <c r="AZ1027" s="6">
        <v>273.10000000000002</v>
      </c>
      <c r="BA1027" s="6"/>
      <c r="BB1027" s="6">
        <v>68.5</v>
      </c>
    </row>
    <row r="1028" spans="32:55">
      <c r="AF1028">
        <f t="shared" si="56"/>
        <v>0</v>
      </c>
      <c r="AG1028" t="str">
        <f t="shared" si="57"/>
        <v>(CH₃)₂NH (aq)</v>
      </c>
      <c r="AH1028" t="s">
        <v>3560</v>
      </c>
      <c r="AI1028" t="s">
        <v>3561</v>
      </c>
      <c r="AJ1028" t="s">
        <v>3562</v>
      </c>
      <c r="AL1028" t="s">
        <v>3563</v>
      </c>
      <c r="AS1028" t="s">
        <v>48</v>
      </c>
      <c r="AX1028" s="6">
        <v>45.09</v>
      </c>
      <c r="AY1028" s="6" t="s">
        <v>3565</v>
      </c>
      <c r="AZ1028" s="6">
        <v>133.1</v>
      </c>
      <c r="BA1028" s="6"/>
      <c r="BB1028" s="6">
        <v>58.02</v>
      </c>
    </row>
    <row r="1029" spans="32:55">
      <c r="AF1029">
        <f t="shared" si="56"/>
        <v>0</v>
      </c>
      <c r="AG1029" t="str">
        <f t="shared" si="57"/>
        <v>CH₃CH₂NH₂ (g)</v>
      </c>
      <c r="AH1029" t="s">
        <v>3566</v>
      </c>
      <c r="AI1029" t="s">
        <v>3567</v>
      </c>
      <c r="AJ1029" t="s">
        <v>3567</v>
      </c>
      <c r="AL1029" t="s">
        <v>3568</v>
      </c>
      <c r="AS1029" t="s">
        <v>47</v>
      </c>
      <c r="AX1029" s="6">
        <v>45.09</v>
      </c>
      <c r="AY1029" s="6" t="s">
        <v>3569</v>
      </c>
      <c r="AZ1029" s="6">
        <v>284.8</v>
      </c>
      <c r="BA1029" s="6"/>
      <c r="BB1029" s="6">
        <v>36.299999999999997</v>
      </c>
    </row>
    <row r="1030" spans="32:55">
      <c r="AF1030">
        <f t="shared" si="56"/>
        <v>0</v>
      </c>
      <c r="AG1030" t="str">
        <f t="shared" si="57"/>
        <v>(CH₃)₂NH₂⁺ (aq)</v>
      </c>
      <c r="AH1030" t="s">
        <v>3570</v>
      </c>
      <c r="AI1030" t="s">
        <v>3571</v>
      </c>
      <c r="AJ1030" t="s">
        <v>3572</v>
      </c>
      <c r="AL1030" t="s">
        <v>3573</v>
      </c>
      <c r="AS1030" t="s">
        <v>48</v>
      </c>
      <c r="AX1030" s="6">
        <v>46.1</v>
      </c>
      <c r="AY1030" s="6" t="s">
        <v>3574</v>
      </c>
      <c r="AZ1030" s="6">
        <v>172.4</v>
      </c>
      <c r="BA1030" s="6"/>
      <c r="BB1030" s="6">
        <v>-3.28</v>
      </c>
    </row>
    <row r="1031" spans="32:55">
      <c r="AF1031">
        <f t="shared" si="56"/>
        <v>0</v>
      </c>
      <c r="AG1031" t="str">
        <f t="shared" si="57"/>
        <v>(CH₃)₃N (g)</v>
      </c>
      <c r="AH1031" t="s">
        <v>3575</v>
      </c>
      <c r="AI1031" t="s">
        <v>3576</v>
      </c>
      <c r="AJ1031" t="s">
        <v>3577</v>
      </c>
      <c r="AL1031" t="s">
        <v>3578</v>
      </c>
      <c r="AS1031" t="s">
        <v>47</v>
      </c>
      <c r="AX1031" s="6">
        <v>59.11</v>
      </c>
      <c r="AY1031" s="6" t="s">
        <v>3579</v>
      </c>
      <c r="AZ1031" s="6">
        <v>287.10000000000002</v>
      </c>
      <c r="BA1031" s="6"/>
      <c r="BB1031" s="6">
        <v>98.95</v>
      </c>
    </row>
    <row r="1032" spans="32:55">
      <c r="AF1032">
        <f t="shared" si="56"/>
        <v>0</v>
      </c>
      <c r="AG1032" t="str">
        <f t="shared" si="57"/>
        <v>(CH₃)₃N (aq)</v>
      </c>
      <c r="AH1032" t="s">
        <v>3575</v>
      </c>
      <c r="AI1032" t="s">
        <v>3576</v>
      </c>
      <c r="AJ1032" t="s">
        <v>3577</v>
      </c>
      <c r="AL1032" t="s">
        <v>3578</v>
      </c>
      <c r="AS1032" t="s">
        <v>48</v>
      </c>
      <c r="AX1032" s="6">
        <v>59.11</v>
      </c>
      <c r="AY1032" s="6" t="s">
        <v>3580</v>
      </c>
      <c r="AZ1032" s="6">
        <v>133.5</v>
      </c>
      <c r="BA1032" s="6"/>
      <c r="BB1032" s="6">
        <v>93.05</v>
      </c>
    </row>
    <row r="1033" spans="32:55">
      <c r="AF1033">
        <f t="shared" si="56"/>
        <v>0</v>
      </c>
      <c r="AG1033" t="str">
        <f t="shared" si="57"/>
        <v>CH₃CH₂CH₂NH₂ (g)</v>
      </c>
      <c r="AH1033" t="s">
        <v>3581</v>
      </c>
      <c r="AI1033" t="s">
        <v>3582</v>
      </c>
      <c r="AJ1033" t="s">
        <v>3582</v>
      </c>
      <c r="AL1033" t="s">
        <v>3583</v>
      </c>
      <c r="AS1033" t="s">
        <v>47</v>
      </c>
      <c r="AX1033" s="6">
        <v>59.11</v>
      </c>
      <c r="AY1033" s="6" t="s">
        <v>3584</v>
      </c>
      <c r="AZ1033" s="6">
        <v>325.39999999999998</v>
      </c>
      <c r="BA1033" s="6"/>
      <c r="BB1033" s="6">
        <v>39.9</v>
      </c>
    </row>
    <row r="1034" spans="32:55">
      <c r="AF1034">
        <f t="shared" si="56"/>
        <v>0</v>
      </c>
      <c r="AG1034" t="str">
        <f t="shared" si="57"/>
        <v>CH₃CH(NH₂)CH₃ (g)</v>
      </c>
      <c r="AH1034" t="s">
        <v>3585</v>
      </c>
      <c r="AI1034" t="s">
        <v>3586</v>
      </c>
      <c r="AJ1034" t="s">
        <v>3587</v>
      </c>
      <c r="AL1034" t="s">
        <v>3588</v>
      </c>
      <c r="AS1034" t="s">
        <v>47</v>
      </c>
      <c r="AX1034" s="6">
        <v>59.11</v>
      </c>
      <c r="AY1034" s="6" t="s">
        <v>3589</v>
      </c>
      <c r="AZ1034" s="6">
        <v>312.2</v>
      </c>
      <c r="BA1034" s="6"/>
      <c r="BB1034" s="6">
        <v>32.200000000000003</v>
      </c>
    </row>
    <row r="1035" spans="32:55">
      <c r="AF1035">
        <f t="shared" si="56"/>
        <v>0</v>
      </c>
      <c r="AG1035" t="str">
        <f t="shared" si="57"/>
        <v>H₂N(CH₂)₂NH₂ (l)</v>
      </c>
      <c r="AH1035" t="s">
        <v>3590</v>
      </c>
      <c r="AI1035" t="s">
        <v>3591</v>
      </c>
      <c r="AJ1035" t="s">
        <v>3592</v>
      </c>
      <c r="AL1035" t="s">
        <v>3593</v>
      </c>
      <c r="AS1035" t="s">
        <v>239</v>
      </c>
      <c r="AX1035" s="6">
        <v>60.1</v>
      </c>
      <c r="AY1035" s="6" t="s">
        <v>3594</v>
      </c>
      <c r="AZ1035" s="6">
        <v>209.2</v>
      </c>
      <c r="BA1035" s="6"/>
      <c r="BB1035" s="6" t="s">
        <v>168</v>
      </c>
      <c r="BC1035" s="6"/>
    </row>
    <row r="1036" spans="32:55">
      <c r="AF1036">
        <f t="shared" si="56"/>
        <v>0</v>
      </c>
      <c r="AG1036" t="str">
        <f t="shared" si="57"/>
        <v>(CH₃CH₂)₂NH (g)</v>
      </c>
      <c r="AH1036" t="s">
        <v>3595</v>
      </c>
      <c r="AI1036" t="s">
        <v>3596</v>
      </c>
      <c r="AJ1036" t="s">
        <v>3597</v>
      </c>
      <c r="AL1036" t="s">
        <v>3598</v>
      </c>
      <c r="AS1036" t="s">
        <v>47</v>
      </c>
      <c r="AX1036" s="6">
        <v>73.14</v>
      </c>
      <c r="AY1036" s="6" t="s">
        <v>3599</v>
      </c>
      <c r="AZ1036" s="6">
        <v>352.3</v>
      </c>
      <c r="BA1036" s="6"/>
      <c r="BB1036" s="6">
        <v>72.16</v>
      </c>
    </row>
    <row r="1037" spans="32:55">
      <c r="AF1037">
        <f t="shared" si="56"/>
        <v>0</v>
      </c>
      <c r="AG1037" t="str">
        <f t="shared" si="57"/>
        <v/>
      </c>
      <c r="AH1037" t="s">
        <v>3600</v>
      </c>
      <c r="AI1037" t="s">
        <v>3601</v>
      </c>
      <c r="AJ1037" t="s">
        <v>3602</v>
      </c>
      <c r="AL1037" t="s">
        <v>3603</v>
      </c>
      <c r="AS1037" t="s">
        <v>220</v>
      </c>
      <c r="AX1037" s="6">
        <v>74.13</v>
      </c>
      <c r="AY1037" s="6" t="s">
        <v>168</v>
      </c>
      <c r="AZ1037" s="6" t="s">
        <v>168</v>
      </c>
      <c r="BA1037" s="6"/>
      <c r="BB1037" s="6" t="s">
        <v>168</v>
      </c>
      <c r="BC1037" s="6"/>
    </row>
    <row r="1038" spans="32:55">
      <c r="AF1038">
        <f t="shared" si="56"/>
        <v>0</v>
      </c>
      <c r="AG1038" t="str">
        <f t="shared" si="57"/>
        <v>C₅H₅N (l)</v>
      </c>
      <c r="AH1038" t="s">
        <v>3604</v>
      </c>
      <c r="AI1038" t="s">
        <v>3605</v>
      </c>
      <c r="AJ1038" t="s">
        <v>3605</v>
      </c>
      <c r="AL1038" t="s">
        <v>3606</v>
      </c>
      <c r="AS1038" t="s">
        <v>239</v>
      </c>
      <c r="AX1038" s="6">
        <v>79.099999999999994</v>
      </c>
      <c r="AY1038" s="6" t="s">
        <v>3607</v>
      </c>
      <c r="AZ1038" s="6">
        <v>177.9</v>
      </c>
      <c r="BA1038" s="6"/>
      <c r="BB1038" s="6">
        <v>181.35</v>
      </c>
    </row>
    <row r="1039" spans="32:55">
      <c r="AF1039">
        <f t="shared" si="56"/>
        <v>0</v>
      </c>
      <c r="AG1039" t="str">
        <f t="shared" si="57"/>
        <v>C₅H₅N (g)</v>
      </c>
      <c r="AH1039" t="s">
        <v>3604</v>
      </c>
      <c r="AI1039" t="s">
        <v>3605</v>
      </c>
      <c r="AJ1039" t="s">
        <v>3605</v>
      </c>
      <c r="AL1039" t="s">
        <v>3606</v>
      </c>
      <c r="AS1039" t="s">
        <v>47</v>
      </c>
      <c r="AX1039" s="6">
        <v>79.099999999999994</v>
      </c>
      <c r="AY1039" s="6" t="s">
        <v>3608</v>
      </c>
      <c r="AZ1039" s="6">
        <v>282.89999999999998</v>
      </c>
      <c r="BA1039" s="6"/>
      <c r="BB1039" s="6">
        <v>190.23</v>
      </c>
    </row>
    <row r="1040" spans="32:55">
      <c r="AF1040">
        <f t="shared" si="56"/>
        <v>0</v>
      </c>
      <c r="AG1040" t="str">
        <f t="shared" si="57"/>
        <v/>
      </c>
      <c r="AH1040" t="s">
        <v>3609</v>
      </c>
      <c r="AI1040" t="s">
        <v>3610</v>
      </c>
      <c r="AJ1040" t="s">
        <v>3611</v>
      </c>
      <c r="AL1040" t="s">
        <v>3612</v>
      </c>
      <c r="AS1040" t="s">
        <v>220</v>
      </c>
      <c r="AX1040" s="6">
        <v>88.15</v>
      </c>
      <c r="AY1040" s="6" t="s">
        <v>168</v>
      </c>
      <c r="AZ1040" s="6" t="s">
        <v>168</v>
      </c>
      <c r="BA1040" s="6"/>
      <c r="BB1040" s="6" t="s">
        <v>168</v>
      </c>
      <c r="BC1040" s="6"/>
    </row>
    <row r="1041" spans="32:55">
      <c r="AF1041">
        <f t="shared" si="56"/>
        <v>0</v>
      </c>
      <c r="AG1041" t="str">
        <f t="shared" si="57"/>
        <v>C₆H₅NH₂ (l)</v>
      </c>
      <c r="AH1041" t="s">
        <v>3613</v>
      </c>
      <c r="AI1041" t="s">
        <v>3614</v>
      </c>
      <c r="AJ1041" t="s">
        <v>3614</v>
      </c>
      <c r="AK1041" t="s">
        <v>3615</v>
      </c>
      <c r="AL1041" t="s">
        <v>3616</v>
      </c>
      <c r="AS1041" t="s">
        <v>239</v>
      </c>
      <c r="AX1041" s="6">
        <v>93.13</v>
      </c>
      <c r="AY1041" s="6" t="s">
        <v>3617</v>
      </c>
      <c r="AZ1041" s="6">
        <v>191.3</v>
      </c>
      <c r="BA1041" s="6"/>
      <c r="BB1041" s="6">
        <v>149.15</v>
      </c>
    </row>
    <row r="1042" spans="32:55">
      <c r="AF1042">
        <f t="shared" si="56"/>
        <v>0</v>
      </c>
      <c r="AG1042" t="str">
        <f t="shared" si="57"/>
        <v>C₆H₅NH₂ (g)</v>
      </c>
      <c r="AH1042" t="s">
        <v>3613</v>
      </c>
      <c r="AI1042" t="s">
        <v>3614</v>
      </c>
      <c r="AJ1042" t="s">
        <v>3614</v>
      </c>
      <c r="AL1042" t="s">
        <v>3616</v>
      </c>
      <c r="AS1042" t="s">
        <v>47</v>
      </c>
      <c r="AX1042" s="6">
        <v>93.13</v>
      </c>
      <c r="AY1042" s="6" t="s">
        <v>3618</v>
      </c>
      <c r="AZ1042" s="6">
        <v>317.89999999999998</v>
      </c>
      <c r="BA1042" s="6"/>
      <c r="BB1042" s="6">
        <v>-7</v>
      </c>
    </row>
    <row r="1043" spans="32:55">
      <c r="AF1043">
        <f t="shared" si="56"/>
        <v>0</v>
      </c>
      <c r="AG1043" t="str">
        <f t="shared" si="57"/>
        <v>(CH₃CH₂)₃N (g)</v>
      </c>
      <c r="AH1043" t="s">
        <v>3619</v>
      </c>
      <c r="AI1043" t="s">
        <v>3620</v>
      </c>
      <c r="AJ1043" t="s">
        <v>3621</v>
      </c>
      <c r="AL1043" t="s">
        <v>3622</v>
      </c>
      <c r="AS1043" t="s">
        <v>47</v>
      </c>
      <c r="AX1043" s="6">
        <v>101.19</v>
      </c>
      <c r="AY1043" s="6" t="s">
        <v>3623</v>
      </c>
      <c r="AZ1043" s="6">
        <v>405.5</v>
      </c>
      <c r="BA1043" s="6"/>
      <c r="BB1043" s="6">
        <v>110.39</v>
      </c>
    </row>
    <row r="1044" spans="32:55">
      <c r="AF1044">
        <f t="shared" si="56"/>
        <v>0</v>
      </c>
      <c r="AG1044" t="str">
        <f t="shared" si="57"/>
        <v/>
      </c>
      <c r="AH1044" t="s">
        <v>3624</v>
      </c>
      <c r="AI1044" t="s">
        <v>3625</v>
      </c>
      <c r="AJ1044" t="s">
        <v>3625</v>
      </c>
      <c r="AL1044" t="s">
        <v>3626</v>
      </c>
      <c r="AS1044" t="s">
        <v>220</v>
      </c>
      <c r="AX1044" s="6">
        <v>107.16</v>
      </c>
      <c r="AY1044" s="6" t="s">
        <v>168</v>
      </c>
      <c r="AZ1044" s="6" t="s">
        <v>168</v>
      </c>
      <c r="BA1044" s="6"/>
      <c r="BB1044" s="6" t="s">
        <v>168</v>
      </c>
      <c r="BC1044" s="6"/>
    </row>
    <row r="1045" spans="32:55">
      <c r="AF1045">
        <f t="shared" si="56"/>
        <v>0</v>
      </c>
      <c r="AG1045" t="str">
        <f t="shared" si="57"/>
        <v/>
      </c>
      <c r="AH1045" t="s">
        <v>3624</v>
      </c>
      <c r="AI1045" t="s">
        <v>3625</v>
      </c>
      <c r="AJ1045" t="s">
        <v>3625</v>
      </c>
      <c r="AL1045" t="s">
        <v>3627</v>
      </c>
      <c r="AS1045" t="s">
        <v>220</v>
      </c>
      <c r="AX1045" s="6">
        <v>107.16</v>
      </c>
      <c r="AY1045" s="6" t="s">
        <v>168</v>
      </c>
      <c r="AZ1045" s="6" t="s">
        <v>168</v>
      </c>
      <c r="BA1045" s="6"/>
      <c r="BB1045" s="6" t="s">
        <v>168</v>
      </c>
      <c r="BC1045" s="6"/>
    </row>
    <row r="1046" spans="32:55">
      <c r="AF1046">
        <f t="shared" si="56"/>
        <v>0</v>
      </c>
      <c r="AG1046" t="str">
        <f t="shared" si="57"/>
        <v/>
      </c>
      <c r="AH1046" t="s">
        <v>3624</v>
      </c>
      <c r="AI1046" t="s">
        <v>3625</v>
      </c>
      <c r="AJ1046" t="s">
        <v>3625</v>
      </c>
      <c r="AL1046" t="s">
        <v>3628</v>
      </c>
      <c r="AS1046" t="s">
        <v>220</v>
      </c>
      <c r="AX1046" s="6">
        <v>107.16</v>
      </c>
      <c r="AY1046" s="6" t="s">
        <v>168</v>
      </c>
      <c r="AZ1046" s="6" t="s">
        <v>168</v>
      </c>
      <c r="BA1046" s="6"/>
      <c r="BB1046" s="6" t="s">
        <v>168</v>
      </c>
      <c r="BC1046" s="6"/>
    </row>
    <row r="1047" spans="32:55">
      <c r="AF1047">
        <f t="shared" si="56"/>
        <v>0</v>
      </c>
      <c r="AG1047" t="str">
        <f t="shared" si="57"/>
        <v/>
      </c>
      <c r="AH1047" t="s">
        <v>3629</v>
      </c>
      <c r="AI1047" t="s">
        <v>3630</v>
      </c>
      <c r="AJ1047" t="s">
        <v>3630</v>
      </c>
      <c r="AL1047" t="s">
        <v>3631</v>
      </c>
      <c r="AS1047" t="s">
        <v>220</v>
      </c>
      <c r="AX1047" s="6">
        <v>107.16</v>
      </c>
      <c r="AY1047" s="6" t="s">
        <v>168</v>
      </c>
      <c r="AZ1047" s="6" t="s">
        <v>168</v>
      </c>
      <c r="BA1047" s="6"/>
      <c r="BB1047" s="6" t="s">
        <v>168</v>
      </c>
      <c r="BC1047" s="6"/>
    </row>
    <row r="1048" spans="32:55">
      <c r="AF1048">
        <f t="shared" si="56"/>
        <v>0</v>
      </c>
      <c r="AG1048" t="str">
        <f t="shared" si="57"/>
        <v>C₆H₅NHNH₂ (l)</v>
      </c>
      <c r="AH1048" t="s">
        <v>3632</v>
      </c>
      <c r="AI1048" t="s">
        <v>3633</v>
      </c>
      <c r="AJ1048" t="s">
        <v>3633</v>
      </c>
      <c r="AL1048" t="s">
        <v>3634</v>
      </c>
      <c r="AS1048" t="s">
        <v>239</v>
      </c>
      <c r="AX1048" s="6">
        <v>108.14</v>
      </c>
      <c r="AY1048" s="6" t="s">
        <v>3635</v>
      </c>
      <c r="AZ1048" s="6" t="s">
        <v>168</v>
      </c>
      <c r="BA1048" s="6"/>
      <c r="BB1048" s="6" t="s">
        <v>168</v>
      </c>
      <c r="BC1048" s="6"/>
    </row>
    <row r="1049" spans="32:55">
      <c r="AF1049">
        <f t="shared" si="56"/>
        <v>0</v>
      </c>
      <c r="AG1049" t="str">
        <f t="shared" si="57"/>
        <v/>
      </c>
      <c r="AH1049" t="s">
        <v>3636</v>
      </c>
      <c r="AI1049" t="s">
        <v>3637</v>
      </c>
      <c r="AJ1049" t="s">
        <v>3638</v>
      </c>
      <c r="AL1049" t="s">
        <v>3639</v>
      </c>
      <c r="AS1049" t="s">
        <v>220</v>
      </c>
      <c r="AX1049" s="6">
        <v>109.6</v>
      </c>
      <c r="AY1049" s="6" t="s">
        <v>168</v>
      </c>
      <c r="AZ1049" s="6" t="s">
        <v>168</v>
      </c>
      <c r="BA1049" s="6"/>
      <c r="BB1049" s="6" t="s">
        <v>168</v>
      </c>
      <c r="BC1049" s="6"/>
    </row>
    <row r="1050" spans="32:55">
      <c r="AF1050">
        <f t="shared" si="56"/>
        <v>0</v>
      </c>
      <c r="AG1050" t="str">
        <f t="shared" si="57"/>
        <v>N(CH₂CH₂)₃N (s)</v>
      </c>
      <c r="AH1050" t="s">
        <v>3640</v>
      </c>
      <c r="AI1050" t="s">
        <v>3641</v>
      </c>
      <c r="AJ1050" t="s">
        <v>3642</v>
      </c>
      <c r="AK1050" t="s">
        <v>3643</v>
      </c>
      <c r="AL1050" t="s">
        <v>3644</v>
      </c>
      <c r="AS1050" t="s">
        <v>160</v>
      </c>
      <c r="AX1050" s="6">
        <v>112.18</v>
      </c>
      <c r="AY1050" s="6" t="s">
        <v>3645</v>
      </c>
      <c r="AZ1050" s="6">
        <v>157.6</v>
      </c>
      <c r="BA1050" s="6"/>
      <c r="BB1050" s="6">
        <v>239.74</v>
      </c>
    </row>
    <row r="1051" spans="32:55">
      <c r="AF1051">
        <f t="shared" si="56"/>
        <v>0</v>
      </c>
      <c r="AG1051" t="str">
        <f t="shared" si="57"/>
        <v>H₂N(CH₂)₆NH₂ (s)</v>
      </c>
      <c r="AH1051" t="s">
        <v>3646</v>
      </c>
      <c r="AI1051" t="s">
        <v>3647</v>
      </c>
      <c r="AJ1051" t="s">
        <v>3648</v>
      </c>
      <c r="AL1051" t="s">
        <v>3649</v>
      </c>
      <c r="AS1051" t="s">
        <v>160</v>
      </c>
      <c r="AX1051" s="6">
        <v>116.21</v>
      </c>
      <c r="AY1051" s="6" t="s">
        <v>3650</v>
      </c>
      <c r="AZ1051" s="6" t="s">
        <v>168</v>
      </c>
      <c r="BA1051" s="6"/>
      <c r="BB1051" s="6" t="s">
        <v>168</v>
      </c>
      <c r="BC1051" s="6"/>
    </row>
    <row r="1052" spans="32:55">
      <c r="AF1052">
        <f t="shared" si="56"/>
        <v>0</v>
      </c>
      <c r="AG1052" t="str">
        <f t="shared" si="57"/>
        <v>C₆H₅N(CH₃)₂ (l)</v>
      </c>
      <c r="AH1052" t="s">
        <v>3651</v>
      </c>
      <c r="AI1052" t="s">
        <v>3652</v>
      </c>
      <c r="AJ1052" t="s">
        <v>3653</v>
      </c>
      <c r="AL1052" t="s">
        <v>3654</v>
      </c>
      <c r="AS1052" t="s">
        <v>239</v>
      </c>
      <c r="AX1052" s="6">
        <v>121.18</v>
      </c>
      <c r="AY1052" s="6" t="s">
        <v>3655</v>
      </c>
      <c r="AZ1052" s="6" t="s">
        <v>168</v>
      </c>
      <c r="BA1052" s="6"/>
      <c r="BB1052" s="6" t="s">
        <v>168</v>
      </c>
      <c r="BC1052" s="6"/>
    </row>
    <row r="1053" spans="32:55">
      <c r="AF1053">
        <f t="shared" si="56"/>
        <v>0</v>
      </c>
      <c r="AG1053" t="str">
        <f t="shared" si="57"/>
        <v/>
      </c>
      <c r="AH1053" t="s">
        <v>3656</v>
      </c>
      <c r="AI1053" t="s">
        <v>3657</v>
      </c>
      <c r="AJ1053" t="s">
        <v>3657</v>
      </c>
      <c r="AL1053" t="s">
        <v>3658</v>
      </c>
      <c r="AS1053" t="s">
        <v>220</v>
      </c>
      <c r="AX1053" s="6">
        <v>129.59</v>
      </c>
      <c r="AY1053" s="6" t="s">
        <v>168</v>
      </c>
      <c r="AZ1053" s="6" t="s">
        <v>168</v>
      </c>
      <c r="BA1053" s="6"/>
      <c r="BB1053" s="6" t="s">
        <v>168</v>
      </c>
      <c r="BC1053" s="6"/>
    </row>
    <row r="1054" spans="32:55">
      <c r="AF1054">
        <f t="shared" si="56"/>
        <v>0</v>
      </c>
      <c r="AG1054" t="str">
        <f t="shared" si="57"/>
        <v/>
      </c>
      <c r="AH1054" t="s">
        <v>3659</v>
      </c>
      <c r="AI1054" t="s">
        <v>3660</v>
      </c>
      <c r="AJ1054" t="s">
        <v>3661</v>
      </c>
      <c r="AK1054" t="s">
        <v>3662</v>
      </c>
      <c r="AL1054" t="s">
        <v>3663</v>
      </c>
      <c r="AS1054" t="s">
        <v>220</v>
      </c>
      <c r="AX1054" s="6">
        <v>135.19999999999999</v>
      </c>
      <c r="AY1054" s="6" t="s">
        <v>168</v>
      </c>
      <c r="AZ1054" s="6" t="s">
        <v>168</v>
      </c>
      <c r="BA1054" s="6"/>
      <c r="BB1054" s="6" t="s">
        <v>168</v>
      </c>
      <c r="BC1054" s="6"/>
    </row>
    <row r="1055" spans="32:55">
      <c r="AF1055">
        <f t="shared" si="56"/>
        <v>0</v>
      </c>
      <c r="AG1055" t="str">
        <f t="shared" si="57"/>
        <v/>
      </c>
      <c r="AH1055" t="s">
        <v>3664</v>
      </c>
      <c r="AI1055" t="s">
        <v>3665</v>
      </c>
      <c r="AJ1055" t="s">
        <v>3665</v>
      </c>
      <c r="AL1055" t="s">
        <v>3666</v>
      </c>
      <c r="AS1055" t="s">
        <v>220</v>
      </c>
      <c r="AX1055" s="6">
        <v>149.24</v>
      </c>
      <c r="AY1055" s="6" t="s">
        <v>168</v>
      </c>
      <c r="AZ1055" s="6" t="s">
        <v>168</v>
      </c>
      <c r="BA1055" s="6"/>
      <c r="BB1055" s="6" t="s">
        <v>168</v>
      </c>
      <c r="BC1055" s="6"/>
    </row>
    <row r="1056" spans="32:55">
      <c r="AF1056">
        <f t="shared" si="56"/>
        <v>0</v>
      </c>
      <c r="AG1056" t="str">
        <f t="shared" si="57"/>
        <v>C₁₀H₁₄N₂ (l)</v>
      </c>
      <c r="AH1056" t="s">
        <v>3667</v>
      </c>
      <c r="AI1056" t="s">
        <v>3668</v>
      </c>
      <c r="AJ1056" t="s">
        <v>3668</v>
      </c>
      <c r="AK1056" t="s">
        <v>3669</v>
      </c>
      <c r="AL1056" t="s">
        <v>3670</v>
      </c>
      <c r="AS1056" t="s">
        <v>239</v>
      </c>
      <c r="AX1056" s="6">
        <v>162.22999999999999</v>
      </c>
      <c r="AY1056" s="6" t="s">
        <v>3671</v>
      </c>
      <c r="AZ1056" s="6" t="s">
        <v>168</v>
      </c>
      <c r="BA1056" s="6"/>
      <c r="BB1056" s="6" t="s">
        <v>168</v>
      </c>
      <c r="BC1056" s="6"/>
    </row>
    <row r="1057" spans="32:55">
      <c r="AF1057" t="str">
        <f t="shared" si="56"/>
        <v>1</v>
      </c>
      <c r="AG1057" t="str">
        <f t="shared" si="57"/>
        <v>C₅H₄N₄O₃ (s)</v>
      </c>
      <c r="AH1057" t="s">
        <v>3672</v>
      </c>
      <c r="AI1057" t="s">
        <v>3673</v>
      </c>
      <c r="AJ1057" t="s">
        <v>3673</v>
      </c>
      <c r="AL1057" t="s">
        <v>3674</v>
      </c>
      <c r="AS1057" t="s">
        <v>160</v>
      </c>
      <c r="AX1057" s="6">
        <v>168.11</v>
      </c>
      <c r="AY1057" s="6" t="s">
        <v>3675</v>
      </c>
      <c r="AZ1057" s="6">
        <v>173.2</v>
      </c>
      <c r="BA1057" s="6"/>
      <c r="BB1057" s="6">
        <v>-358.73</v>
      </c>
    </row>
    <row r="1058" spans="32:55">
      <c r="AF1058">
        <f t="shared" si="56"/>
        <v>0</v>
      </c>
      <c r="AG1058" t="str">
        <f t="shared" si="57"/>
        <v>(C₆H₅)₂NH (s)</v>
      </c>
      <c r="AH1058" t="s">
        <v>3676</v>
      </c>
      <c r="AI1058" t="s">
        <v>3677</v>
      </c>
      <c r="AJ1058" t="s">
        <v>3678</v>
      </c>
      <c r="AL1058" t="s">
        <v>3679</v>
      </c>
      <c r="AS1058" t="s">
        <v>160</v>
      </c>
      <c r="AX1058" s="6">
        <v>169.23</v>
      </c>
      <c r="AY1058" s="6" t="s">
        <v>3680</v>
      </c>
      <c r="AZ1058" s="6" t="s">
        <v>168</v>
      </c>
      <c r="BA1058" s="6"/>
      <c r="BB1058" s="6" t="s">
        <v>168</v>
      </c>
      <c r="BC1058" s="6"/>
    </row>
    <row r="1059" spans="32:55">
      <c r="AF1059">
        <f t="shared" si="56"/>
        <v>0</v>
      </c>
      <c r="AG1059" t="str">
        <f t="shared" si="57"/>
        <v>(C₆H₅)₃N (s)</v>
      </c>
      <c r="AH1059" t="s">
        <v>3681</v>
      </c>
      <c r="AI1059" t="s">
        <v>3682</v>
      </c>
      <c r="AJ1059" t="s">
        <v>3683</v>
      </c>
      <c r="AL1059" t="s">
        <v>3684</v>
      </c>
      <c r="AS1059" t="s">
        <v>160</v>
      </c>
      <c r="AX1059" s="6">
        <v>245.33</v>
      </c>
      <c r="AY1059" s="6" t="s">
        <v>3685</v>
      </c>
      <c r="AZ1059" s="6" t="s">
        <v>168</v>
      </c>
      <c r="BA1059" s="6"/>
      <c r="BB1059" s="6">
        <v>504.3</v>
      </c>
    </row>
    <row r="1060" spans="32:55">
      <c r="AF1060">
        <f t="shared" si="56"/>
        <v>0</v>
      </c>
      <c r="AG1060" t="str">
        <f t="shared" si="57"/>
        <v>C₆H₅N=NC₆H₅ (s)</v>
      </c>
      <c r="AH1060" t="s">
        <v>3686</v>
      </c>
      <c r="AI1060" t="s">
        <v>3687</v>
      </c>
      <c r="AJ1060" t="s">
        <v>3687</v>
      </c>
      <c r="AL1060" t="s">
        <v>3688</v>
      </c>
      <c r="AS1060" t="s">
        <v>160</v>
      </c>
      <c r="AX1060" s="6">
        <v>182.23</v>
      </c>
      <c r="AY1060" s="6" t="s">
        <v>3689</v>
      </c>
      <c r="AZ1060" s="6" t="s">
        <v>168</v>
      </c>
      <c r="BA1060" s="6"/>
      <c r="BB1060" s="6" t="s">
        <v>168</v>
      </c>
      <c r="BC1060" s="6"/>
    </row>
    <row r="1061" spans="32:55">
      <c r="AF1061">
        <f t="shared" si="56"/>
        <v>0</v>
      </c>
      <c r="AG1061" t="str">
        <f t="shared" si="57"/>
        <v/>
      </c>
      <c r="AH1061" t="s">
        <v>3690</v>
      </c>
      <c r="AI1061" t="s">
        <v>3691</v>
      </c>
      <c r="AJ1061" t="s">
        <v>3692</v>
      </c>
      <c r="AK1061" t="s">
        <v>3693</v>
      </c>
      <c r="AL1061" t="s">
        <v>3694</v>
      </c>
      <c r="AS1061" t="s">
        <v>220</v>
      </c>
      <c r="AX1061" s="6">
        <v>183.2</v>
      </c>
      <c r="AY1061" s="6" t="s">
        <v>168</v>
      </c>
      <c r="AZ1061" s="6" t="s">
        <v>168</v>
      </c>
      <c r="BA1061" s="6"/>
      <c r="BB1061" s="6" t="s">
        <v>168</v>
      </c>
      <c r="BC1061" s="6"/>
    </row>
    <row r="1062" spans="32:55">
      <c r="AF1062">
        <f t="shared" si="56"/>
        <v>0</v>
      </c>
      <c r="AG1062" t="str">
        <f t="shared" si="57"/>
        <v>H₂N-C₆H₅-C₆H₅-NH₂ (s)</v>
      </c>
      <c r="AH1062" t="s">
        <v>3695</v>
      </c>
      <c r="AI1062" t="s">
        <v>3696</v>
      </c>
      <c r="AJ1062" t="s">
        <v>3696</v>
      </c>
      <c r="AK1062" t="s">
        <v>3697</v>
      </c>
      <c r="AL1062" t="s">
        <v>3698</v>
      </c>
      <c r="AS1062" t="s">
        <v>160</v>
      </c>
      <c r="AX1062" s="6">
        <v>184.26</v>
      </c>
      <c r="AY1062" s="6" t="s">
        <v>3699</v>
      </c>
      <c r="AZ1062" s="6" t="s">
        <v>168</v>
      </c>
      <c r="BA1062" s="6"/>
      <c r="BB1062" s="6" t="s">
        <v>168</v>
      </c>
      <c r="BC1062" s="6"/>
    </row>
    <row r="1063" spans="32:55">
      <c r="AF1063">
        <f t="shared" si="56"/>
        <v>0</v>
      </c>
      <c r="AG1063" t="str">
        <f t="shared" si="57"/>
        <v>C₈H₁₀O₂N₄ (s)</v>
      </c>
      <c r="AH1063" t="s">
        <v>3700</v>
      </c>
      <c r="AI1063" t="s">
        <v>3701</v>
      </c>
      <c r="AJ1063" t="s">
        <v>3701</v>
      </c>
      <c r="AL1063" t="s">
        <v>3702</v>
      </c>
      <c r="AS1063" t="s">
        <v>160</v>
      </c>
      <c r="AX1063" s="6">
        <v>194.19</v>
      </c>
      <c r="AY1063" s="6" t="s">
        <v>3703</v>
      </c>
      <c r="AZ1063" s="6" t="s">
        <v>168</v>
      </c>
      <c r="BA1063" s="6"/>
      <c r="BB1063" s="6" t="s">
        <v>168</v>
      </c>
      <c r="BC1063" s="6"/>
    </row>
    <row r="1064" spans="32:55">
      <c r="AF1064">
        <f t="shared" si="56"/>
        <v>0</v>
      </c>
      <c r="AG1064" t="str">
        <f t="shared" si="57"/>
        <v>(HOOC)₂NCH₂CH₂N(CH₂COOH)₂ (s)</v>
      </c>
      <c r="AH1064" t="s">
        <v>3704</v>
      </c>
      <c r="AI1064" t="s">
        <v>3705</v>
      </c>
      <c r="AJ1064" t="s">
        <v>3706</v>
      </c>
      <c r="AL1064" t="s">
        <v>3707</v>
      </c>
      <c r="AS1064" t="s">
        <v>160</v>
      </c>
      <c r="AX1064" s="6">
        <v>292.24</v>
      </c>
      <c r="AY1064" s="6" t="s">
        <v>3708</v>
      </c>
      <c r="AZ1064" s="6" t="s">
        <v>168</v>
      </c>
      <c r="BA1064" s="6"/>
      <c r="BB1064" s="6" t="s">
        <v>168</v>
      </c>
      <c r="BC1064" s="6"/>
    </row>
    <row r="1065" spans="32:55">
      <c r="AF1065">
        <f t="shared" si="56"/>
        <v>0</v>
      </c>
      <c r="AG1065" t="str">
        <f t="shared" si="57"/>
        <v/>
      </c>
      <c r="AH1065" t="s">
        <v>3709</v>
      </c>
      <c r="AI1065" t="s">
        <v>3710</v>
      </c>
      <c r="AJ1065" t="s">
        <v>3710</v>
      </c>
      <c r="AL1065" t="s">
        <v>3711</v>
      </c>
      <c r="AS1065" t="s">
        <v>220</v>
      </c>
      <c r="AX1065" s="6">
        <v>303.35000000000002</v>
      </c>
      <c r="AY1065" s="6" t="s">
        <v>168</v>
      </c>
      <c r="AZ1065" s="6" t="s">
        <v>168</v>
      </c>
      <c r="BA1065" s="6"/>
      <c r="BB1065" s="6"/>
      <c r="BC1065" s="6"/>
    </row>
    <row r="1066" spans="32:55">
      <c r="AF1066">
        <f t="shared" si="56"/>
        <v>0</v>
      </c>
      <c r="AG1066" t="str">
        <f t="shared" si="57"/>
        <v>C₂₀H₂₄O₂N₂ (s)</v>
      </c>
      <c r="AH1066" t="s">
        <v>3712</v>
      </c>
      <c r="AI1066" t="s">
        <v>3713</v>
      </c>
      <c r="AJ1066" t="s">
        <v>3713</v>
      </c>
      <c r="AL1066" t="s">
        <v>3714</v>
      </c>
      <c r="AS1066" t="s">
        <v>160</v>
      </c>
      <c r="AX1066" s="6">
        <v>324.44</v>
      </c>
      <c r="AY1066" s="6" t="s">
        <v>3715</v>
      </c>
      <c r="AZ1066" s="6" t="s">
        <v>168</v>
      </c>
      <c r="BA1066" s="6"/>
      <c r="BB1066" s="6"/>
      <c r="BC1066" s="6"/>
    </row>
    <row r="1067" spans="32:55">
      <c r="AF1067">
        <f t="shared" si="56"/>
        <v>0</v>
      </c>
      <c r="AG1067" t="str">
        <f t="shared" si="57"/>
        <v>C₄H₇N₃O (s)</v>
      </c>
      <c r="AH1067" t="s">
        <v>3716</v>
      </c>
      <c r="AI1067" t="s">
        <v>3717</v>
      </c>
      <c r="AJ1067" t="s">
        <v>3717</v>
      </c>
      <c r="AL1067" t="s">
        <v>3718</v>
      </c>
      <c r="AS1067" t="s">
        <v>160</v>
      </c>
      <c r="AX1067" s="6">
        <v>113.12</v>
      </c>
      <c r="AY1067" s="6" t="s">
        <v>3719</v>
      </c>
      <c r="AZ1067" s="6">
        <v>167.4</v>
      </c>
      <c r="BA1067" s="6"/>
      <c r="BB1067" s="6">
        <v>-28.45</v>
      </c>
    </row>
    <row r="1068" spans="32:55">
      <c r="AF1068">
        <f t="shared" si="56"/>
        <v>0</v>
      </c>
      <c r="AG1068" t="str">
        <f t="shared" si="57"/>
        <v>C₄H₇N₃O (aq)</v>
      </c>
      <c r="AH1068" t="s">
        <v>3716</v>
      </c>
      <c r="AI1068" t="s">
        <v>3717</v>
      </c>
      <c r="AJ1068" t="s">
        <v>3717</v>
      </c>
      <c r="AL1068" t="s">
        <v>3718</v>
      </c>
      <c r="AS1068" t="s">
        <v>48</v>
      </c>
      <c r="AX1068" s="6">
        <v>113.12</v>
      </c>
      <c r="AY1068" s="6" t="s">
        <v>168</v>
      </c>
      <c r="AZ1068" s="6" t="s">
        <v>168</v>
      </c>
      <c r="BA1068" s="6"/>
      <c r="BB1068" s="6" t="s">
        <v>168</v>
      </c>
      <c r="BC1068" s="6"/>
    </row>
    <row r="1069" spans="32:55">
      <c r="AF1069">
        <f t="shared" si="56"/>
        <v>0</v>
      </c>
      <c r="AG1069" t="str">
        <f t="shared" si="57"/>
        <v>H₂NC(NH)N(CH₃)CH₂COOH (s)</v>
      </c>
      <c r="AH1069" t="s">
        <v>3720</v>
      </c>
      <c r="AI1069" t="s">
        <v>3721</v>
      </c>
      <c r="AJ1069" t="s">
        <v>3722</v>
      </c>
      <c r="AL1069" t="s">
        <v>3723</v>
      </c>
      <c r="AS1069" t="s">
        <v>160</v>
      </c>
      <c r="AX1069" s="6">
        <v>131.13999999999999</v>
      </c>
      <c r="AY1069" s="6" t="s">
        <v>863</v>
      </c>
      <c r="AZ1069" s="6">
        <v>189.5</v>
      </c>
      <c r="BA1069" s="6"/>
      <c r="BB1069" s="6">
        <v>-264.01</v>
      </c>
    </row>
    <row r="1070" spans="32:55">
      <c r="AF1070">
        <f t="shared" si="56"/>
        <v>0</v>
      </c>
      <c r="AG1070" t="str">
        <f t="shared" si="57"/>
        <v>H₂NC(NH)N(CH₃)CH₂COOH (aq)</v>
      </c>
      <c r="AH1070" t="s">
        <v>3720</v>
      </c>
      <c r="AI1070" t="s">
        <v>3721</v>
      </c>
      <c r="AJ1070" t="s">
        <v>3722</v>
      </c>
      <c r="AL1070" t="s">
        <v>3723</v>
      </c>
      <c r="AS1070" t="s">
        <v>48</v>
      </c>
      <c r="AX1070" s="6">
        <v>131.13999999999999</v>
      </c>
      <c r="AY1070" s="6" t="s">
        <v>168</v>
      </c>
      <c r="AZ1070" s="6" t="s">
        <v>168</v>
      </c>
      <c r="BA1070" s="6"/>
      <c r="BB1070" s="6" t="s">
        <v>168</v>
      </c>
      <c r="BC1070" s="6"/>
    </row>
    <row r="1071" spans="32:55">
      <c r="AF1071">
        <f t="shared" si="56"/>
        <v>0</v>
      </c>
      <c r="AG1071" t="str">
        <f t="shared" si="57"/>
        <v>C₄H₅N₃O (s)</v>
      </c>
      <c r="AH1071" t="s">
        <v>3724</v>
      </c>
      <c r="AI1071" t="s">
        <v>3725</v>
      </c>
      <c r="AJ1071" t="s">
        <v>3725</v>
      </c>
      <c r="AL1071" t="s">
        <v>3726</v>
      </c>
      <c r="AS1071" t="s">
        <v>160</v>
      </c>
      <c r="AX1071" s="6">
        <v>111.1</v>
      </c>
      <c r="AY1071" s="6" t="s">
        <v>1229</v>
      </c>
      <c r="AZ1071" s="6" t="s">
        <v>168</v>
      </c>
      <c r="BA1071" s="6"/>
      <c r="BB1071" s="6" t="s">
        <v>168</v>
      </c>
      <c r="BC1071" s="6"/>
    </row>
    <row r="1072" spans="32:55">
      <c r="AF1072">
        <f t="shared" si="56"/>
        <v>0</v>
      </c>
      <c r="AG1072" t="str">
        <f t="shared" si="57"/>
        <v>C₄H₄N₂O₂ (s)</v>
      </c>
      <c r="AH1072" t="s">
        <v>3727</v>
      </c>
      <c r="AI1072" t="s">
        <v>3728</v>
      </c>
      <c r="AJ1072" t="s">
        <v>3728</v>
      </c>
      <c r="AL1072" t="s">
        <v>3729</v>
      </c>
      <c r="AS1072" t="s">
        <v>160</v>
      </c>
      <c r="AX1072" s="6">
        <v>112.09</v>
      </c>
      <c r="AY1072" s="6" t="s">
        <v>3730</v>
      </c>
      <c r="AZ1072" s="6" t="s">
        <v>168</v>
      </c>
      <c r="BA1072" s="6"/>
      <c r="BB1072" s="6" t="s">
        <v>168</v>
      </c>
      <c r="BC1072" s="6"/>
    </row>
    <row r="1073" spans="32:55">
      <c r="AF1073">
        <f t="shared" si="56"/>
        <v>0</v>
      </c>
      <c r="AG1073" t="str">
        <f t="shared" si="57"/>
        <v>C₅H₆N₂O₂ (s)</v>
      </c>
      <c r="AH1073" t="s">
        <v>3731</v>
      </c>
      <c r="AI1073" t="s">
        <v>3732</v>
      </c>
      <c r="AJ1073" t="s">
        <v>3732</v>
      </c>
      <c r="AL1073" t="s">
        <v>3733</v>
      </c>
      <c r="AS1073" t="s">
        <v>160</v>
      </c>
      <c r="AX1073" s="6">
        <v>126.12</v>
      </c>
      <c r="AY1073" s="6" t="s">
        <v>3734</v>
      </c>
      <c r="AZ1073" s="6" t="s">
        <v>168</v>
      </c>
      <c r="BA1073" s="6"/>
      <c r="BB1073" s="6" t="s">
        <v>168</v>
      </c>
      <c r="BC1073" s="6"/>
    </row>
    <row r="1074" spans="32:55">
      <c r="AF1074">
        <f t="shared" si="56"/>
        <v>0</v>
      </c>
      <c r="AG1074" t="str">
        <f t="shared" si="57"/>
        <v>C₅H₅N₅ (s)</v>
      </c>
      <c r="AH1074" t="s">
        <v>3735</v>
      </c>
      <c r="AI1074" t="s">
        <v>3736</v>
      </c>
      <c r="AJ1074" t="s">
        <v>3736</v>
      </c>
      <c r="AK1074" t="s">
        <v>3737</v>
      </c>
      <c r="AL1074" t="s">
        <v>3738</v>
      </c>
      <c r="AS1074" t="s">
        <v>160</v>
      </c>
      <c r="AX1074" s="6">
        <v>135.13</v>
      </c>
      <c r="AY1074" s="6" t="s">
        <v>3739</v>
      </c>
      <c r="AZ1074" s="6">
        <v>151</v>
      </c>
      <c r="BA1074" s="6"/>
      <c r="BB1074" s="6">
        <v>-299.49</v>
      </c>
    </row>
    <row r="1075" spans="32:55">
      <c r="AF1075">
        <f t="shared" si="56"/>
        <v>0</v>
      </c>
      <c r="AG1075" t="str">
        <f t="shared" si="57"/>
        <v>C₅H₅N₅ (aq)</v>
      </c>
      <c r="AH1075" t="s">
        <v>3735</v>
      </c>
      <c r="AI1075" t="s">
        <v>3736</v>
      </c>
      <c r="AJ1075" t="s">
        <v>3736</v>
      </c>
      <c r="AL1075" t="s">
        <v>3738</v>
      </c>
      <c r="AS1075" t="s">
        <v>48</v>
      </c>
      <c r="AX1075" s="6">
        <v>135.13</v>
      </c>
      <c r="AY1075" s="6" t="s">
        <v>168</v>
      </c>
      <c r="AZ1075" s="6" t="s">
        <v>168</v>
      </c>
      <c r="BA1075" s="6"/>
      <c r="BB1075" s="6">
        <v>312.29000000000002</v>
      </c>
    </row>
    <row r="1076" spans="32:55">
      <c r="AF1076">
        <f t="shared" si="56"/>
        <v>0</v>
      </c>
      <c r="AG1076" t="str">
        <f t="shared" si="57"/>
        <v>C₅H₆N₅⁺ (aq)</v>
      </c>
      <c r="AH1076" t="s">
        <v>3740</v>
      </c>
      <c r="AI1076" t="s">
        <v>3741</v>
      </c>
      <c r="AJ1076" t="s">
        <v>3741</v>
      </c>
      <c r="AL1076" t="s">
        <v>3742</v>
      </c>
      <c r="AS1076" t="s">
        <v>48</v>
      </c>
      <c r="AX1076" s="6">
        <v>136.13999999999999</v>
      </c>
      <c r="AY1076" s="6" t="s">
        <v>168</v>
      </c>
      <c r="AZ1076" s="6" t="s">
        <v>168</v>
      </c>
      <c r="BA1076" s="6"/>
      <c r="BB1076" s="6">
        <v>288.32</v>
      </c>
    </row>
    <row r="1077" spans="32:55">
      <c r="AF1077">
        <f t="shared" si="56"/>
        <v>0</v>
      </c>
      <c r="AG1077" t="str">
        <f t="shared" si="57"/>
        <v>C₅H₄N₅⁻ (aq)</v>
      </c>
      <c r="AH1077" t="s">
        <v>3743</v>
      </c>
      <c r="AI1077" t="s">
        <v>3744</v>
      </c>
      <c r="AJ1077" t="s">
        <v>3744</v>
      </c>
      <c r="AL1077" t="s">
        <v>3745</v>
      </c>
      <c r="AS1077" t="s">
        <v>48</v>
      </c>
      <c r="AX1077" s="6">
        <v>134.12</v>
      </c>
      <c r="AY1077" s="6" t="s">
        <v>168</v>
      </c>
      <c r="AZ1077" s="6" t="s">
        <v>168</v>
      </c>
      <c r="BA1077" s="6"/>
      <c r="BB1077" s="6">
        <v>368.65</v>
      </c>
    </row>
    <row r="1078" spans="32:55">
      <c r="AF1078">
        <f t="shared" si="56"/>
        <v>0</v>
      </c>
      <c r="AG1078" t="str">
        <f t="shared" si="57"/>
        <v>C₅H₅N₅O (s)</v>
      </c>
      <c r="AH1078" t="s">
        <v>3746</v>
      </c>
      <c r="AI1078" t="s">
        <v>3747</v>
      </c>
      <c r="AJ1078" t="s">
        <v>3747</v>
      </c>
      <c r="AL1078" t="s">
        <v>3748</v>
      </c>
      <c r="AS1078" t="s">
        <v>160</v>
      </c>
      <c r="AX1078" s="6">
        <v>151.13</v>
      </c>
      <c r="AY1078" s="6" t="s">
        <v>3749</v>
      </c>
      <c r="AZ1078" s="6">
        <v>160.19999999999999</v>
      </c>
      <c r="BA1078" s="6"/>
      <c r="BB1078" s="6">
        <v>47.4</v>
      </c>
    </row>
    <row r="1079" spans="32:55">
      <c r="AF1079">
        <f t="shared" si="56"/>
        <v>0</v>
      </c>
      <c r="AG1079" t="str">
        <f t="shared" si="57"/>
        <v/>
      </c>
      <c r="AH1079" t="s">
        <v>3750</v>
      </c>
      <c r="AI1079" t="s">
        <v>3751</v>
      </c>
      <c r="AJ1079" t="s">
        <v>3751</v>
      </c>
      <c r="AL1079" t="s">
        <v>3752</v>
      </c>
      <c r="AS1079" t="s">
        <v>220</v>
      </c>
      <c r="AX1079" s="6">
        <v>267.25</v>
      </c>
      <c r="AY1079" s="6"/>
      <c r="AZ1079" s="6"/>
      <c r="BA1079" s="6"/>
      <c r="BB1079" s="6"/>
      <c r="BC1079" s="6"/>
    </row>
    <row r="1080" spans="32:55">
      <c r="AF1080">
        <f t="shared" si="56"/>
        <v>0</v>
      </c>
      <c r="AG1080" t="str">
        <f t="shared" si="57"/>
        <v/>
      </c>
      <c r="AH1080" t="s">
        <v>3753</v>
      </c>
      <c r="AI1080" t="s">
        <v>3754</v>
      </c>
      <c r="AJ1080" t="s">
        <v>3754</v>
      </c>
      <c r="AL1080" t="s">
        <v>3755</v>
      </c>
      <c r="AS1080" t="s">
        <v>220</v>
      </c>
      <c r="AX1080" s="6">
        <v>347.22</v>
      </c>
      <c r="AY1080" s="6"/>
      <c r="AZ1080" s="6"/>
      <c r="BA1080" s="6"/>
      <c r="BB1080" s="6"/>
      <c r="BC1080" s="6"/>
    </row>
    <row r="1081" spans="32:55">
      <c r="AF1081">
        <f t="shared" si="56"/>
        <v>0</v>
      </c>
      <c r="AG1081" t="str">
        <f t="shared" si="57"/>
        <v/>
      </c>
      <c r="AH1081" t="s">
        <v>3756</v>
      </c>
      <c r="AI1081" t="s">
        <v>3757</v>
      </c>
      <c r="AJ1081" t="s">
        <v>3757</v>
      </c>
      <c r="AL1081" t="s">
        <v>3758</v>
      </c>
      <c r="AS1081" t="s">
        <v>220</v>
      </c>
      <c r="AX1081" s="6">
        <v>427.22</v>
      </c>
      <c r="AY1081" s="6"/>
      <c r="AZ1081" s="6"/>
      <c r="BA1081" s="6"/>
      <c r="BB1081" s="6"/>
      <c r="BC1081" s="6"/>
    </row>
    <row r="1082" spans="32:55">
      <c r="AF1082">
        <f t="shared" si="56"/>
        <v>0</v>
      </c>
      <c r="AG1082" t="str">
        <f t="shared" si="57"/>
        <v/>
      </c>
      <c r="AH1082" t="s">
        <v>3759</v>
      </c>
      <c r="AI1082" t="s">
        <v>3760</v>
      </c>
      <c r="AJ1082" t="s">
        <v>3760</v>
      </c>
      <c r="AL1082" t="s">
        <v>3761</v>
      </c>
      <c r="AS1082" t="s">
        <v>220</v>
      </c>
      <c r="AX1082" s="6">
        <v>507.19</v>
      </c>
      <c r="AY1082" s="6"/>
      <c r="AZ1082" s="6"/>
      <c r="BA1082" s="6"/>
      <c r="BB1082" s="6"/>
      <c r="BC1082" s="6"/>
    </row>
    <row r="1083" spans="32:55">
      <c r="AF1083">
        <f t="shared" si="56"/>
        <v>0</v>
      </c>
      <c r="AG1083" t="str">
        <f t="shared" si="57"/>
        <v/>
      </c>
      <c r="AH1083" t="s">
        <v>3762</v>
      </c>
      <c r="AI1083" t="s">
        <v>3763</v>
      </c>
      <c r="AJ1083" t="s">
        <v>3763</v>
      </c>
      <c r="AL1083" t="s">
        <v>3764</v>
      </c>
      <c r="AS1083" t="s">
        <v>220</v>
      </c>
      <c r="AX1083" s="6">
        <v>283.25</v>
      </c>
      <c r="AY1083" s="6"/>
      <c r="AZ1083" s="6"/>
      <c r="BA1083" s="6"/>
      <c r="BB1083" s="6"/>
      <c r="BC1083" s="6"/>
    </row>
    <row r="1084" spans="32:55">
      <c r="AF1084">
        <f t="shared" si="56"/>
        <v>0</v>
      </c>
      <c r="AG1084" t="str">
        <f t="shared" si="57"/>
        <v/>
      </c>
      <c r="AH1084" t="s">
        <v>3765</v>
      </c>
      <c r="AI1084" t="s">
        <v>3766</v>
      </c>
      <c r="AJ1084" t="s">
        <v>3766</v>
      </c>
      <c r="AL1084" t="s">
        <v>3767</v>
      </c>
      <c r="AS1084" t="s">
        <v>220</v>
      </c>
      <c r="AX1084" s="6">
        <v>243.22</v>
      </c>
      <c r="AY1084" s="6"/>
      <c r="AZ1084" s="6"/>
      <c r="BA1084" s="6"/>
      <c r="BB1084" s="6"/>
      <c r="BC1084" s="6"/>
    </row>
    <row r="1085" spans="32:55">
      <c r="AF1085">
        <f t="shared" si="56"/>
        <v>0</v>
      </c>
      <c r="AG1085" t="str">
        <f t="shared" si="57"/>
        <v/>
      </c>
      <c r="AH1085" t="s">
        <v>3768</v>
      </c>
      <c r="AI1085" t="s">
        <v>3769</v>
      </c>
      <c r="AJ1085" t="s">
        <v>3769</v>
      </c>
      <c r="AL1085" t="s">
        <v>3770</v>
      </c>
      <c r="AS1085" t="s">
        <v>220</v>
      </c>
      <c r="AX1085" s="6">
        <v>244.2</v>
      </c>
      <c r="AY1085" s="6"/>
      <c r="AZ1085" s="6"/>
      <c r="BA1085" s="6"/>
      <c r="BB1085" s="6"/>
      <c r="BC1085" s="6"/>
    </row>
    <row r="1086" spans="32:55">
      <c r="AF1086">
        <f t="shared" si="56"/>
        <v>0</v>
      </c>
      <c r="AG1086" t="str">
        <f t="shared" si="57"/>
        <v/>
      </c>
      <c r="AH1086" t="s">
        <v>3771</v>
      </c>
      <c r="AI1086" t="s">
        <v>3772</v>
      </c>
      <c r="AJ1086" t="s">
        <v>3772</v>
      </c>
      <c r="AL1086" t="s">
        <v>3773</v>
      </c>
      <c r="AS1086" t="s">
        <v>220</v>
      </c>
      <c r="AX1086" s="6">
        <v>767.55</v>
      </c>
      <c r="AY1086" s="6"/>
      <c r="AZ1086" s="6"/>
      <c r="BA1086" s="6"/>
      <c r="BB1086" s="6"/>
      <c r="BC1086" s="6"/>
    </row>
    <row r="1087" spans="32:55">
      <c r="AF1087">
        <f t="shared" si="56"/>
        <v>0</v>
      </c>
      <c r="AG1087" t="str">
        <f t="shared" si="57"/>
        <v/>
      </c>
      <c r="AH1087" t="s">
        <v>3774</v>
      </c>
      <c r="AI1087" t="s">
        <v>3775</v>
      </c>
      <c r="AJ1087" t="s">
        <v>3775</v>
      </c>
      <c r="AL1087" t="s">
        <v>3776</v>
      </c>
      <c r="AS1087" t="s">
        <v>220</v>
      </c>
      <c r="AX1087" s="6">
        <v>743.44</v>
      </c>
      <c r="AY1087" s="6"/>
      <c r="AZ1087" s="6"/>
      <c r="BA1087" s="6"/>
      <c r="BB1087" s="6"/>
      <c r="BC1087" s="6"/>
    </row>
    <row r="1088" spans="32:55">
      <c r="AF1088">
        <f t="shared" si="56"/>
        <v>0</v>
      </c>
      <c r="AG1088" t="str">
        <f t="shared" si="57"/>
        <v>CH₃OH (l)</v>
      </c>
      <c r="AH1088" t="s">
        <v>3777</v>
      </c>
      <c r="AI1088" t="s">
        <v>3778</v>
      </c>
      <c r="AJ1088" t="s">
        <v>3778</v>
      </c>
      <c r="AK1088" t="s">
        <v>3779</v>
      </c>
      <c r="AL1088" t="s">
        <v>3780</v>
      </c>
      <c r="AS1088" t="s">
        <v>239</v>
      </c>
      <c r="AX1088" s="6">
        <v>32.04</v>
      </c>
      <c r="AY1088" s="6" t="s">
        <v>3781</v>
      </c>
      <c r="AZ1088" s="6">
        <v>126.8</v>
      </c>
      <c r="BA1088" s="6"/>
      <c r="BB1088" s="6">
        <v>166.6</v>
      </c>
    </row>
    <row r="1089" spans="32:55">
      <c r="AF1089">
        <f t="shared" si="56"/>
        <v>0</v>
      </c>
      <c r="AG1089" t="str">
        <f t="shared" si="57"/>
        <v>CH₃OH (g)</v>
      </c>
      <c r="AH1089" t="s">
        <v>3777</v>
      </c>
      <c r="AI1089" t="s">
        <v>3778</v>
      </c>
      <c r="AJ1089" t="s">
        <v>3778</v>
      </c>
      <c r="AL1089" t="s">
        <v>3780</v>
      </c>
      <c r="AS1089" t="s">
        <v>47</v>
      </c>
      <c r="AX1089" s="6">
        <v>32.04</v>
      </c>
      <c r="AY1089" s="6" t="s">
        <v>3782</v>
      </c>
      <c r="AZ1089" s="6">
        <v>239.9</v>
      </c>
      <c r="BA1089" s="6"/>
      <c r="BB1089" s="6">
        <v>-162.30000000000001</v>
      </c>
    </row>
    <row r="1090" spans="32:55">
      <c r="AF1090">
        <f t="shared" si="56"/>
        <v>0</v>
      </c>
      <c r="AG1090" t="str">
        <f t="shared" si="57"/>
        <v>CH₃OH (aq)</v>
      </c>
      <c r="AH1090" t="s">
        <v>3777</v>
      </c>
      <c r="AI1090" t="s">
        <v>3778</v>
      </c>
      <c r="AJ1090" t="s">
        <v>3778</v>
      </c>
      <c r="AL1090" t="s">
        <v>3780</v>
      </c>
      <c r="AS1090" t="s">
        <v>48</v>
      </c>
      <c r="AX1090" s="6">
        <v>32.04</v>
      </c>
      <c r="AY1090" s="6" t="s">
        <v>3783</v>
      </c>
      <c r="AZ1090" s="6" t="s">
        <v>168</v>
      </c>
      <c r="BA1090" s="6"/>
      <c r="BB1090" s="6" t="s">
        <v>168</v>
      </c>
      <c r="BC1090" s="6"/>
    </row>
    <row r="1091" spans="32:55">
      <c r="AF1091">
        <f t="shared" ref="AF1091:AF1154" si="58">IF(OR(AG1091="",COUNTIF(AG:AG, AG1091) = 1),0, "1")</f>
        <v>0</v>
      </c>
      <c r="AG1091" t="str">
        <f t="shared" ref="AG1091:AG1154" si="59">IF(AS1091 &lt;&gt; "",AH1091&amp;" ("&amp;AS1091 &amp;")","")</f>
        <v>CH₃CH₂OH (l)</v>
      </c>
      <c r="AH1091" t="s">
        <v>3784</v>
      </c>
      <c r="AI1091" t="s">
        <v>3785</v>
      </c>
      <c r="AJ1091" t="s">
        <v>3785</v>
      </c>
      <c r="AK1091" t="s">
        <v>3786</v>
      </c>
      <c r="AL1091" t="s">
        <v>3787</v>
      </c>
      <c r="AS1091" t="s">
        <v>239</v>
      </c>
      <c r="AX1091" s="6">
        <v>46.07</v>
      </c>
      <c r="AY1091" s="6" t="s">
        <v>3788</v>
      </c>
      <c r="AZ1091" s="6">
        <v>160.69999999999999</v>
      </c>
      <c r="BA1091" s="6"/>
      <c r="BB1091" s="6">
        <v>-174.8</v>
      </c>
    </row>
    <row r="1092" spans="32:55">
      <c r="AF1092">
        <f t="shared" si="58"/>
        <v>0</v>
      </c>
      <c r="AG1092" t="str">
        <f t="shared" si="59"/>
        <v>CH₃CH₂OH (g)</v>
      </c>
      <c r="AH1092" t="s">
        <v>3784</v>
      </c>
      <c r="AI1092" t="s">
        <v>3785</v>
      </c>
      <c r="AJ1092" t="s">
        <v>3785</v>
      </c>
      <c r="AL1092" t="s">
        <v>3787</v>
      </c>
      <c r="AS1092" t="s">
        <v>47</v>
      </c>
      <c r="AX1092" s="6">
        <v>46.07</v>
      </c>
      <c r="AY1092" s="6" t="s">
        <v>3789</v>
      </c>
      <c r="AZ1092" s="6">
        <v>281.60000000000002</v>
      </c>
      <c r="BA1092" s="6"/>
      <c r="BB1092" s="6">
        <v>-167.9</v>
      </c>
    </row>
    <row r="1093" spans="32:55">
      <c r="AF1093">
        <f t="shared" si="58"/>
        <v>0</v>
      </c>
      <c r="AG1093" t="str">
        <f t="shared" si="59"/>
        <v>CH₃CH₂OH (aq)</v>
      </c>
      <c r="AH1093" t="s">
        <v>3784</v>
      </c>
      <c r="AI1093" t="s">
        <v>3785</v>
      </c>
      <c r="AJ1093" t="s">
        <v>3785</v>
      </c>
      <c r="AL1093" t="s">
        <v>3787</v>
      </c>
      <c r="AS1093" t="s">
        <v>48</v>
      </c>
      <c r="AX1093" s="6">
        <v>46.07</v>
      </c>
      <c r="AY1093" s="6" t="s">
        <v>3790</v>
      </c>
      <c r="AZ1093" s="6">
        <v>149.80000000000001</v>
      </c>
      <c r="BA1093" s="6"/>
      <c r="BB1093" s="6">
        <v>-180.91</v>
      </c>
    </row>
    <row r="1094" spans="32:55">
      <c r="AF1094">
        <f t="shared" si="58"/>
        <v>0</v>
      </c>
      <c r="AG1094" t="str">
        <f t="shared" si="59"/>
        <v>CH₂=CHCH₂OH (g)</v>
      </c>
      <c r="AH1094" t="s">
        <v>3791</v>
      </c>
      <c r="AI1094" t="s">
        <v>3792</v>
      </c>
      <c r="AJ1094" t="s">
        <v>3792</v>
      </c>
      <c r="AL1094" t="s">
        <v>3793</v>
      </c>
      <c r="AS1094" t="s">
        <v>47</v>
      </c>
      <c r="AX1094" s="6">
        <v>58.08</v>
      </c>
      <c r="AY1094" s="6" t="s">
        <v>3794</v>
      </c>
      <c r="AZ1094" s="6">
        <v>307.7</v>
      </c>
      <c r="BA1094" s="6"/>
      <c r="BB1094" s="6">
        <v>-71.22</v>
      </c>
    </row>
    <row r="1095" spans="32:55">
      <c r="AF1095">
        <f t="shared" si="58"/>
        <v>0</v>
      </c>
      <c r="AG1095" t="str">
        <f t="shared" si="59"/>
        <v>CH₃CH₂CH₂OH (l)</v>
      </c>
      <c r="AH1095" t="s">
        <v>3795</v>
      </c>
      <c r="AI1095" t="s">
        <v>3796</v>
      </c>
      <c r="AJ1095" t="s">
        <v>3796</v>
      </c>
      <c r="AL1095" t="s">
        <v>3797</v>
      </c>
      <c r="AS1095" t="s">
        <v>239</v>
      </c>
      <c r="AX1095" s="6">
        <v>60.1</v>
      </c>
      <c r="AY1095" s="6" t="s">
        <v>3798</v>
      </c>
      <c r="AZ1095" s="6">
        <v>193.6</v>
      </c>
      <c r="BA1095" s="6"/>
      <c r="BB1095" s="6">
        <v>-170.55</v>
      </c>
    </row>
    <row r="1096" spans="32:55">
      <c r="AF1096">
        <f t="shared" si="58"/>
        <v>0</v>
      </c>
      <c r="AG1096" t="str">
        <f t="shared" si="59"/>
        <v>CH₃CH₂CH₂OH (g)</v>
      </c>
      <c r="AH1096" t="s">
        <v>3795</v>
      </c>
      <c r="AI1096" t="s">
        <v>3796</v>
      </c>
      <c r="AJ1096" t="s">
        <v>3796</v>
      </c>
      <c r="AL1096" t="s">
        <v>3797</v>
      </c>
      <c r="AS1096" t="s">
        <v>47</v>
      </c>
      <c r="AX1096" s="6">
        <v>60.1</v>
      </c>
      <c r="AY1096" s="6" t="s">
        <v>3799</v>
      </c>
      <c r="AZ1096" s="6">
        <v>322.60000000000002</v>
      </c>
      <c r="BA1096" s="6"/>
      <c r="BB1096" s="6">
        <v>-161.77000000000001</v>
      </c>
    </row>
    <row r="1097" spans="32:55">
      <c r="AF1097">
        <f t="shared" si="58"/>
        <v>0</v>
      </c>
      <c r="AG1097" t="str">
        <f t="shared" si="59"/>
        <v>CH₃CHOHCH₃ (l)</v>
      </c>
      <c r="AH1097" t="s">
        <v>3800</v>
      </c>
      <c r="AI1097" t="s">
        <v>3801</v>
      </c>
      <c r="AJ1097" t="s">
        <v>3801</v>
      </c>
      <c r="AK1097" t="s">
        <v>3802</v>
      </c>
      <c r="AL1097" t="s">
        <v>3803</v>
      </c>
      <c r="AS1097" t="s">
        <v>239</v>
      </c>
      <c r="AX1097" s="6">
        <v>60.1</v>
      </c>
      <c r="AY1097" s="6" t="s">
        <v>3804</v>
      </c>
      <c r="AZ1097" s="6">
        <v>181.1</v>
      </c>
      <c r="BA1097" s="6"/>
      <c r="BB1097" s="6">
        <v>-180.22</v>
      </c>
    </row>
    <row r="1098" spans="32:55">
      <c r="AF1098">
        <f t="shared" si="58"/>
        <v>0</v>
      </c>
      <c r="AG1098" t="str">
        <f t="shared" si="59"/>
        <v>CH₃CHOHCH₃ (g)</v>
      </c>
      <c r="AH1098" t="s">
        <v>3800</v>
      </c>
      <c r="AI1098" t="s">
        <v>3801</v>
      </c>
      <c r="AJ1098" t="s">
        <v>3801</v>
      </c>
      <c r="AK1098" t="s">
        <v>3805</v>
      </c>
      <c r="AL1098" t="s">
        <v>3803</v>
      </c>
      <c r="AS1098" t="s">
        <v>47</v>
      </c>
      <c r="AX1098" s="6">
        <v>60.1</v>
      </c>
      <c r="AY1098" s="6" t="s">
        <v>3806</v>
      </c>
      <c r="AZ1098" s="6">
        <v>309.2</v>
      </c>
      <c r="BA1098" s="6"/>
      <c r="BB1098" s="6">
        <v>173.35</v>
      </c>
    </row>
    <row r="1099" spans="32:55">
      <c r="AF1099">
        <f t="shared" si="58"/>
        <v>0</v>
      </c>
      <c r="AG1099" t="str">
        <f t="shared" si="59"/>
        <v>CH₃CHOHCH₃ (aq)</v>
      </c>
      <c r="AH1099" t="s">
        <v>3800</v>
      </c>
      <c r="AI1099" t="s">
        <v>3801</v>
      </c>
      <c r="AJ1099" t="s">
        <v>3801</v>
      </c>
      <c r="AL1099" t="s">
        <v>3803</v>
      </c>
      <c r="AS1099" t="s">
        <v>48</v>
      </c>
      <c r="AX1099" s="6">
        <v>60.1</v>
      </c>
      <c r="AY1099" s="6" t="s">
        <v>3807</v>
      </c>
      <c r="AZ1099" s="6">
        <v>153.5</v>
      </c>
      <c r="BA1099" s="6"/>
      <c r="BB1099" s="6">
        <v>-185.17</v>
      </c>
    </row>
    <row r="1100" spans="32:55">
      <c r="AF1100">
        <f t="shared" si="58"/>
        <v>0</v>
      </c>
      <c r="AG1100" t="str">
        <f t="shared" si="59"/>
        <v>NH₂CH₂CH₂OH (l)</v>
      </c>
      <c r="AH1100" t="s">
        <v>3808</v>
      </c>
      <c r="AI1100" t="s">
        <v>3809</v>
      </c>
      <c r="AJ1100" t="s">
        <v>3809</v>
      </c>
      <c r="AL1100" t="s">
        <v>3810</v>
      </c>
      <c r="AS1100" t="s">
        <v>239</v>
      </c>
      <c r="AX1100" s="6">
        <v>61.08</v>
      </c>
      <c r="AY1100" s="6" t="s">
        <v>168</v>
      </c>
      <c r="AZ1100" s="6" t="s">
        <v>168</v>
      </c>
      <c r="BA1100" s="6"/>
      <c r="BB1100" s="6" t="s">
        <v>168</v>
      </c>
      <c r="BC1100" s="6"/>
    </row>
    <row r="1101" spans="32:55">
      <c r="AF1101">
        <f t="shared" si="58"/>
        <v>0</v>
      </c>
      <c r="AG1101" t="str">
        <f t="shared" si="59"/>
        <v>CH₂OHCH₂OH (l)</v>
      </c>
      <c r="AH1101" t="s">
        <v>3811</v>
      </c>
      <c r="AI1101" t="s">
        <v>3812</v>
      </c>
      <c r="AJ1101" t="s">
        <v>3812</v>
      </c>
      <c r="AK1101" t="s">
        <v>3813</v>
      </c>
      <c r="AL1101" t="s">
        <v>3814</v>
      </c>
      <c r="AS1101" t="s">
        <v>239</v>
      </c>
      <c r="AX1101" s="6">
        <v>62.07</v>
      </c>
      <c r="AY1101" s="6" t="s">
        <v>3815</v>
      </c>
      <c r="AZ1101" s="6">
        <v>163.19999999999999</v>
      </c>
      <c r="BA1101" s="6"/>
      <c r="BB1101" s="6">
        <v>-323.14</v>
      </c>
    </row>
    <row r="1102" spans="32:55">
      <c r="AF1102">
        <f t="shared" si="58"/>
        <v>0</v>
      </c>
      <c r="AG1102" t="str">
        <f t="shared" si="59"/>
        <v>(CH₃)₂CHCH₂OH (l)</v>
      </c>
      <c r="AH1102" t="s">
        <v>3816</v>
      </c>
      <c r="AI1102" t="s">
        <v>3817</v>
      </c>
      <c r="AJ1102" t="s">
        <v>3818</v>
      </c>
      <c r="AK1102" t="s">
        <v>3819</v>
      </c>
      <c r="AL1102" t="s">
        <v>3820</v>
      </c>
      <c r="AS1102" t="s">
        <v>239</v>
      </c>
      <c r="AX1102" s="6">
        <v>74.12</v>
      </c>
      <c r="AY1102" s="6" t="s">
        <v>3821</v>
      </c>
      <c r="AZ1102" s="6">
        <v>214.7</v>
      </c>
      <c r="BA1102" s="6"/>
      <c r="BB1102" s="6">
        <v>-167.24</v>
      </c>
    </row>
    <row r="1103" spans="32:55">
      <c r="AF1103">
        <f t="shared" si="58"/>
        <v>0</v>
      </c>
      <c r="AG1103" t="str">
        <f t="shared" si="59"/>
        <v>(CH₃)₃COH (l)</v>
      </c>
      <c r="AH1103" t="s">
        <v>3822</v>
      </c>
      <c r="AI1103" t="s">
        <v>3823</v>
      </c>
      <c r="AJ1103" t="s">
        <v>3824</v>
      </c>
      <c r="AK1103" t="s">
        <v>3825</v>
      </c>
      <c r="AL1103" t="s">
        <v>3826</v>
      </c>
      <c r="AS1103" t="s">
        <v>239</v>
      </c>
      <c r="AX1103" s="6">
        <v>74.12</v>
      </c>
      <c r="AY1103" s="6" t="s">
        <v>3827</v>
      </c>
      <c r="AZ1103" s="6">
        <v>193.3</v>
      </c>
      <c r="BA1103" s="6"/>
      <c r="BB1103" s="6">
        <v>-184.6</v>
      </c>
    </row>
    <row r="1104" spans="32:55">
      <c r="AF1104">
        <f t="shared" si="58"/>
        <v>0</v>
      </c>
      <c r="AG1104" t="str">
        <f t="shared" si="59"/>
        <v>CH₃(CH₂)₂CH₂OH (l)</v>
      </c>
      <c r="AH1104" t="s">
        <v>3828</v>
      </c>
      <c r="AI1104" t="s">
        <v>3829</v>
      </c>
      <c r="AJ1104" t="s">
        <v>3830</v>
      </c>
      <c r="AL1104" t="s">
        <v>3831</v>
      </c>
      <c r="AS1104" t="s">
        <v>239</v>
      </c>
      <c r="AX1104" s="6">
        <v>74.12</v>
      </c>
      <c r="AY1104" s="6" t="s">
        <v>3832</v>
      </c>
      <c r="AZ1104" s="6">
        <v>225.8</v>
      </c>
      <c r="BA1104" s="6"/>
      <c r="BB1104" s="6">
        <v>-162.43</v>
      </c>
    </row>
    <row r="1105" spans="32:55">
      <c r="AF1105">
        <f t="shared" si="58"/>
        <v>0</v>
      </c>
      <c r="AG1105" t="str">
        <f t="shared" si="59"/>
        <v>CH₃CH₂CHOHCH₃ (l)</v>
      </c>
      <c r="AH1105" t="s">
        <v>3833</v>
      </c>
      <c r="AI1105" t="s">
        <v>3834</v>
      </c>
      <c r="AJ1105" t="s">
        <v>3834</v>
      </c>
      <c r="AL1105" t="s">
        <v>3835</v>
      </c>
      <c r="AS1105" t="s">
        <v>239</v>
      </c>
      <c r="AX1105" s="6">
        <v>74.12</v>
      </c>
      <c r="AY1105" s="6" t="s">
        <v>3836</v>
      </c>
      <c r="AZ1105" s="6">
        <v>214.9</v>
      </c>
      <c r="BA1105" s="6"/>
      <c r="BB1105" s="6">
        <v>-176.95</v>
      </c>
    </row>
    <row r="1106" spans="32:55">
      <c r="AF1106">
        <f t="shared" si="58"/>
        <v>0</v>
      </c>
      <c r="AG1106" t="str">
        <f t="shared" si="59"/>
        <v>CH₃CHOHCH₂OH (l)</v>
      </c>
      <c r="AH1106" t="s">
        <v>3837</v>
      </c>
      <c r="AI1106" t="s">
        <v>3838</v>
      </c>
      <c r="AJ1106" t="s">
        <v>3838</v>
      </c>
      <c r="AL1106" t="s">
        <v>3839</v>
      </c>
      <c r="AS1106" t="s">
        <v>239</v>
      </c>
      <c r="AX1106" s="6">
        <v>76.099999999999994</v>
      </c>
      <c r="AY1106" s="6" t="s">
        <v>3840</v>
      </c>
      <c r="AZ1106" s="6" t="s">
        <v>168</v>
      </c>
      <c r="BA1106" s="6"/>
      <c r="BB1106" s="6" t="s">
        <v>168</v>
      </c>
      <c r="BC1106" s="6"/>
    </row>
    <row r="1107" spans="32:55">
      <c r="AF1107">
        <f t="shared" si="58"/>
        <v>0</v>
      </c>
      <c r="AG1107" t="str">
        <f t="shared" si="59"/>
        <v>CH₂OHCH₂CH₂OH (l)</v>
      </c>
      <c r="AH1107" t="s">
        <v>3841</v>
      </c>
      <c r="AI1107" t="s">
        <v>3842</v>
      </c>
      <c r="AJ1107" t="s">
        <v>3842</v>
      </c>
      <c r="AL1107" t="s">
        <v>3843</v>
      </c>
      <c r="AS1107" t="s">
        <v>239</v>
      </c>
      <c r="AX1107" s="6">
        <v>76.099999999999994</v>
      </c>
      <c r="AY1107" s="6" t="s">
        <v>3844</v>
      </c>
      <c r="AZ1107" s="6" t="s">
        <v>168</v>
      </c>
      <c r="BA1107" s="6"/>
      <c r="BB1107" s="6" t="s">
        <v>168</v>
      </c>
      <c r="BC1107" s="6"/>
    </row>
    <row r="1108" spans="32:55">
      <c r="AF1108">
        <f t="shared" si="58"/>
        <v>0</v>
      </c>
      <c r="AG1108" t="str">
        <f t="shared" si="59"/>
        <v>CH₃(CH₂)₃CH₂OH (l)</v>
      </c>
      <c r="AH1108" t="s">
        <v>3845</v>
      </c>
      <c r="AI1108" t="s">
        <v>3846</v>
      </c>
      <c r="AJ1108" t="s">
        <v>3847</v>
      </c>
      <c r="AL1108" t="s">
        <v>3848</v>
      </c>
      <c r="AS1108" t="s">
        <v>239</v>
      </c>
      <c r="AX1108" s="6">
        <v>88.15</v>
      </c>
      <c r="AY1108" s="6" t="s">
        <v>3849</v>
      </c>
      <c r="AZ1108" s="6">
        <v>259.39999999999998</v>
      </c>
      <c r="BA1108" s="6"/>
      <c r="BB1108" s="6">
        <v>-160.13999999999999</v>
      </c>
    </row>
    <row r="1109" spans="32:55">
      <c r="AF1109">
        <f t="shared" si="58"/>
        <v>0</v>
      </c>
      <c r="AG1109" t="str">
        <f t="shared" si="59"/>
        <v>CH₃(CH₂)₂CHOHCH₃ (l)</v>
      </c>
      <c r="AH1109" t="s">
        <v>3850</v>
      </c>
      <c r="AI1109" t="s">
        <v>3851</v>
      </c>
      <c r="AJ1109" t="s">
        <v>3852</v>
      </c>
      <c r="AL1109" t="s">
        <v>3853</v>
      </c>
      <c r="AS1109" t="s">
        <v>239</v>
      </c>
      <c r="AX1109" s="6">
        <v>88.15</v>
      </c>
      <c r="AY1109" s="6" t="s">
        <v>3854</v>
      </c>
      <c r="AZ1109" s="6" t="s">
        <v>168</v>
      </c>
      <c r="BA1109" s="6"/>
      <c r="BB1109" s="6" t="s">
        <v>168</v>
      </c>
      <c r="BC1109" s="6"/>
    </row>
    <row r="1110" spans="32:55">
      <c r="AF1110">
        <f t="shared" si="58"/>
        <v>0</v>
      </c>
      <c r="AG1110" t="str">
        <f t="shared" si="59"/>
        <v>(CH₃CH₂)₂CHOH (l)</v>
      </c>
      <c r="AH1110" t="s">
        <v>3855</v>
      </c>
      <c r="AI1110" t="s">
        <v>3856</v>
      </c>
      <c r="AJ1110" t="s">
        <v>3857</v>
      </c>
      <c r="AL1110" t="s">
        <v>3858</v>
      </c>
      <c r="AS1110" t="s">
        <v>239</v>
      </c>
      <c r="AX1110" s="6">
        <v>88.15</v>
      </c>
      <c r="AY1110" s="6" t="s">
        <v>3859</v>
      </c>
      <c r="AZ1110" s="6">
        <v>240.2</v>
      </c>
      <c r="BA1110" s="6"/>
      <c r="BB1110" s="6">
        <v>-168.93</v>
      </c>
    </row>
    <row r="1111" spans="32:55">
      <c r="AF1111">
        <f t="shared" si="58"/>
        <v>0</v>
      </c>
      <c r="AG1111" t="str">
        <f t="shared" si="59"/>
        <v>CH₃CH₂CH(CH₃)CH₂OH (l)</v>
      </c>
      <c r="AH1111" t="s">
        <v>3860</v>
      </c>
      <c r="AI1111" t="s">
        <v>3861</v>
      </c>
      <c r="AJ1111" t="s">
        <v>3862</v>
      </c>
      <c r="AL1111" t="s">
        <v>3863</v>
      </c>
      <c r="AS1111" t="s">
        <v>239</v>
      </c>
      <c r="AX1111" s="6">
        <v>88.15</v>
      </c>
      <c r="AY1111" s="6" t="s">
        <v>3859</v>
      </c>
      <c r="AZ1111" s="6" t="s">
        <v>168</v>
      </c>
      <c r="BA1111" s="6"/>
      <c r="BB1111" s="6" t="s">
        <v>168</v>
      </c>
      <c r="BC1111" s="6"/>
    </row>
    <row r="1112" spans="32:55">
      <c r="AF1112">
        <f t="shared" si="58"/>
        <v>0</v>
      </c>
      <c r="AG1112" t="str">
        <f t="shared" si="59"/>
        <v>CH₃CH(CH₃)CH₂CH₂OH (l)</v>
      </c>
      <c r="AH1112" t="s">
        <v>3864</v>
      </c>
      <c r="AI1112" t="s">
        <v>3865</v>
      </c>
      <c r="AJ1112" t="s">
        <v>3866</v>
      </c>
      <c r="AL1112" t="s">
        <v>3867</v>
      </c>
      <c r="AS1112" t="s">
        <v>239</v>
      </c>
      <c r="AX1112" s="6">
        <v>88.15</v>
      </c>
      <c r="AY1112" s="6" t="s">
        <v>3868</v>
      </c>
      <c r="AZ1112" s="6" t="s">
        <v>168</v>
      </c>
      <c r="BA1112" s="6"/>
      <c r="BB1112" s="6" t="s">
        <v>168</v>
      </c>
      <c r="BC1112" s="6"/>
    </row>
    <row r="1113" spans="32:55">
      <c r="AF1113">
        <f t="shared" si="58"/>
        <v>0</v>
      </c>
      <c r="AG1113" t="str">
        <f t="shared" si="59"/>
        <v>CH₃CH(CH₃)CHOHCH₃ (l)</v>
      </c>
      <c r="AH1113" t="s">
        <v>3869</v>
      </c>
      <c r="AI1113" t="s">
        <v>3870</v>
      </c>
      <c r="AJ1113" t="s">
        <v>3871</v>
      </c>
      <c r="AL1113" t="s">
        <v>3872</v>
      </c>
      <c r="AS1113" t="s">
        <v>239</v>
      </c>
      <c r="AX1113" s="6">
        <v>88.15</v>
      </c>
      <c r="AY1113" s="6" t="s">
        <v>3873</v>
      </c>
      <c r="AZ1113" s="6" t="s">
        <v>168</v>
      </c>
      <c r="BA1113" s="6"/>
      <c r="BB1113" s="6" t="s">
        <v>168</v>
      </c>
      <c r="BC1113" s="6"/>
    </row>
    <row r="1114" spans="32:55">
      <c r="AF1114">
        <f t="shared" si="58"/>
        <v>0</v>
      </c>
      <c r="AG1114" t="str">
        <f t="shared" si="59"/>
        <v>CH₃CH₂COH(CH₃)₂ (l)</v>
      </c>
      <c r="AH1114" t="s">
        <v>3874</v>
      </c>
      <c r="AI1114" t="s">
        <v>3875</v>
      </c>
      <c r="AJ1114" t="s">
        <v>3876</v>
      </c>
      <c r="AL1114" t="s">
        <v>3877</v>
      </c>
      <c r="AS1114" t="s">
        <v>239</v>
      </c>
      <c r="AX1114" s="6">
        <v>88.15</v>
      </c>
      <c r="AY1114" s="6" t="s">
        <v>3878</v>
      </c>
      <c r="AZ1114" s="6">
        <v>229.3</v>
      </c>
      <c r="BA1114" s="6"/>
      <c r="BB1114" s="6">
        <v>-175.21</v>
      </c>
    </row>
    <row r="1115" spans="32:55">
      <c r="AF1115">
        <f t="shared" si="58"/>
        <v>0</v>
      </c>
      <c r="AG1115" t="str">
        <f t="shared" si="59"/>
        <v>CH₂OHCHOHCH₂OH (l)</v>
      </c>
      <c r="AH1115" t="s">
        <v>3879</v>
      </c>
      <c r="AI1115" t="s">
        <v>3880</v>
      </c>
      <c r="AJ1115" t="s">
        <v>3880</v>
      </c>
      <c r="AK1115" t="s">
        <v>3881</v>
      </c>
      <c r="AL1115" t="s">
        <v>3882</v>
      </c>
      <c r="AS1115" t="s">
        <v>239</v>
      </c>
      <c r="AX1115" s="6">
        <v>92.09</v>
      </c>
      <c r="AY1115" s="6" t="s">
        <v>3883</v>
      </c>
      <c r="AZ1115" s="6">
        <v>206.3</v>
      </c>
      <c r="BA1115" s="6"/>
      <c r="BB1115" s="6">
        <v>-476.96</v>
      </c>
    </row>
    <row r="1116" spans="32:55">
      <c r="AF1116">
        <f t="shared" si="58"/>
        <v>0</v>
      </c>
      <c r="AG1116" t="str">
        <f t="shared" si="59"/>
        <v>CH₂OHCHOHCH₂OH (aq)</v>
      </c>
      <c r="AH1116" t="s">
        <v>3879</v>
      </c>
      <c r="AI1116" t="s">
        <v>3880</v>
      </c>
      <c r="AJ1116" t="s">
        <v>3880</v>
      </c>
      <c r="AL1116" t="s">
        <v>3882</v>
      </c>
      <c r="AS1116" t="s">
        <v>48</v>
      </c>
      <c r="AX1116" s="6">
        <v>92.09</v>
      </c>
      <c r="AY1116" s="6" t="s">
        <v>3884</v>
      </c>
      <c r="AZ1116" s="6">
        <v>246</v>
      </c>
      <c r="BA1116" s="6"/>
      <c r="BB1116" s="6">
        <v>-497.4</v>
      </c>
    </row>
    <row r="1117" spans="32:55">
      <c r="AF1117">
        <f t="shared" si="58"/>
        <v>0</v>
      </c>
      <c r="AG1117" t="str">
        <f t="shared" si="59"/>
        <v>C₆H₁₁OH (l)</v>
      </c>
      <c r="AH1117" t="s">
        <v>3885</v>
      </c>
      <c r="AI1117" t="s">
        <v>3886</v>
      </c>
      <c r="AJ1117" t="s">
        <v>3886</v>
      </c>
      <c r="AL1117" t="s">
        <v>3887</v>
      </c>
      <c r="AS1117" t="s">
        <v>239</v>
      </c>
      <c r="AX1117" s="6">
        <v>100.16</v>
      </c>
      <c r="AY1117" s="6" t="s">
        <v>3888</v>
      </c>
      <c r="AZ1117" s="6">
        <v>199.6</v>
      </c>
      <c r="BA1117" s="6"/>
      <c r="BB1117" s="6">
        <v>-133.27000000000001</v>
      </c>
    </row>
    <row r="1118" spans="32:55">
      <c r="AF1118">
        <f t="shared" si="58"/>
        <v>0</v>
      </c>
      <c r="AG1118" t="str">
        <f t="shared" si="59"/>
        <v>CH₃(CH₂)₄CH₂OH (l)</v>
      </c>
      <c r="AH1118" t="s">
        <v>3889</v>
      </c>
      <c r="AI1118" t="s">
        <v>3890</v>
      </c>
      <c r="AJ1118" t="s">
        <v>3891</v>
      </c>
      <c r="AL1118" t="s">
        <v>3892</v>
      </c>
      <c r="AS1118" t="s">
        <v>239</v>
      </c>
      <c r="AX1118" s="6">
        <v>102.18</v>
      </c>
      <c r="AY1118" s="6" t="s">
        <v>3893</v>
      </c>
      <c r="AZ1118" s="6">
        <v>287.39999999999998</v>
      </c>
      <c r="BA1118" s="6"/>
      <c r="BB1118" s="6">
        <v>-152.22999999999999</v>
      </c>
    </row>
    <row r="1119" spans="32:55">
      <c r="AF1119">
        <f t="shared" si="58"/>
        <v>0</v>
      </c>
      <c r="AG1119" t="str">
        <f t="shared" si="59"/>
        <v>C₆H₅-CH₂OH (l)</v>
      </c>
      <c r="AH1119" t="s">
        <v>3894</v>
      </c>
      <c r="AI1119" t="s">
        <v>3895</v>
      </c>
      <c r="AJ1119" t="s">
        <v>3895</v>
      </c>
      <c r="AL1119" t="s">
        <v>3896</v>
      </c>
      <c r="AS1119" t="s">
        <v>239</v>
      </c>
      <c r="AX1119" s="6">
        <v>108.13</v>
      </c>
      <c r="AY1119" s="6" t="s">
        <v>3897</v>
      </c>
      <c r="AZ1119" s="6">
        <v>216.7</v>
      </c>
      <c r="BA1119" s="6"/>
      <c r="BB1119" s="6">
        <v>-27.46</v>
      </c>
    </row>
    <row r="1120" spans="32:55">
      <c r="AF1120">
        <f t="shared" si="58"/>
        <v>0</v>
      </c>
      <c r="AG1120" t="str">
        <f t="shared" si="59"/>
        <v>C₆H₅OH (s)</v>
      </c>
      <c r="AH1120" t="s">
        <v>3898</v>
      </c>
      <c r="AI1120" t="s">
        <v>3899</v>
      </c>
      <c r="AJ1120" t="s">
        <v>3899</v>
      </c>
      <c r="AL1120" t="s">
        <v>3900</v>
      </c>
      <c r="AS1120" t="s">
        <v>160</v>
      </c>
      <c r="AX1120" s="6">
        <v>94.11</v>
      </c>
      <c r="AY1120" s="6" t="s">
        <v>3901</v>
      </c>
      <c r="AZ1120" s="6">
        <v>144</v>
      </c>
      <c r="BA1120" s="6"/>
      <c r="BB1120" s="6">
        <v>-50.4</v>
      </c>
    </row>
    <row r="1121" spans="32:55">
      <c r="AF1121">
        <f t="shared" si="58"/>
        <v>0</v>
      </c>
      <c r="AG1121" t="str">
        <f t="shared" si="59"/>
        <v>C₆H₅OH (l)</v>
      </c>
      <c r="AH1121" t="s">
        <v>3898</v>
      </c>
      <c r="AI1121" t="s">
        <v>3899</v>
      </c>
      <c r="AJ1121" t="s">
        <v>3899</v>
      </c>
      <c r="AL1121" t="s">
        <v>3900</v>
      </c>
      <c r="AS1121" t="s">
        <v>239</v>
      </c>
      <c r="AX1121" s="6">
        <v>94.11</v>
      </c>
      <c r="AY1121" s="6" t="s">
        <v>3902</v>
      </c>
      <c r="AZ1121" s="6" t="s">
        <v>168</v>
      </c>
      <c r="BA1121" s="6"/>
      <c r="BB1121" s="6">
        <v>-46.02</v>
      </c>
    </row>
    <row r="1122" spans="32:55">
      <c r="AF1122">
        <f t="shared" si="58"/>
        <v>0</v>
      </c>
      <c r="AG1122" t="str">
        <f t="shared" si="59"/>
        <v>C₆H₅OH (g)</v>
      </c>
      <c r="AH1122" t="s">
        <v>3898</v>
      </c>
      <c r="AI1122" t="s">
        <v>3899</v>
      </c>
      <c r="AJ1122" t="s">
        <v>3899</v>
      </c>
      <c r="AL1122" t="s">
        <v>3900</v>
      </c>
      <c r="AS1122" t="s">
        <v>47</v>
      </c>
      <c r="AX1122" s="6">
        <v>94.11</v>
      </c>
      <c r="AY1122" s="6" t="s">
        <v>3903</v>
      </c>
      <c r="AZ1122" s="6">
        <v>315.7</v>
      </c>
      <c r="BA1122" s="6"/>
      <c r="BB1122" s="6">
        <v>-32.869999999999997</v>
      </c>
    </row>
    <row r="1123" spans="32:55">
      <c r="AF1123">
        <f t="shared" si="58"/>
        <v>0</v>
      </c>
      <c r="AG1123" t="str">
        <f t="shared" si="59"/>
        <v>O=C₆H₄=O (s)</v>
      </c>
      <c r="AH1123" t="s">
        <v>3904</v>
      </c>
      <c r="AI1123" t="s">
        <v>3905</v>
      </c>
      <c r="AJ1123" t="s">
        <v>3905</v>
      </c>
      <c r="AK1123" t="s">
        <v>3906</v>
      </c>
      <c r="AL1123" t="s">
        <v>3907</v>
      </c>
      <c r="AS1123" t="s">
        <v>160</v>
      </c>
      <c r="AX1123" s="6">
        <v>108.09</v>
      </c>
      <c r="AY1123" s="6" t="s">
        <v>3908</v>
      </c>
      <c r="AZ1123" s="6" t="s">
        <v>168</v>
      </c>
      <c r="BA1123" s="6"/>
      <c r="BB1123" s="6" t="s">
        <v>168</v>
      </c>
      <c r="BC1123" s="6"/>
    </row>
    <row r="1124" spans="32:55">
      <c r="AF1124" t="str">
        <f t="shared" si="58"/>
        <v>1</v>
      </c>
      <c r="AG1124" t="str">
        <f t="shared" si="59"/>
        <v>CH₃C₆H₄OH (g)</v>
      </c>
      <c r="AH1124" t="s">
        <v>3909</v>
      </c>
      <c r="AI1124" t="s">
        <v>3910</v>
      </c>
      <c r="AJ1124" t="s">
        <v>3910</v>
      </c>
      <c r="AK1124" t="s">
        <v>3911</v>
      </c>
      <c r="AL1124" t="s">
        <v>3912</v>
      </c>
      <c r="AS1124" t="s">
        <v>47</v>
      </c>
      <c r="AX1124" s="6">
        <v>108.14</v>
      </c>
      <c r="AY1124" s="6" t="s">
        <v>3913</v>
      </c>
      <c r="AZ1124" s="6">
        <v>357.7</v>
      </c>
      <c r="BA1124" s="6"/>
      <c r="BB1124" s="6">
        <v>-37</v>
      </c>
    </row>
    <row r="1125" spans="32:55">
      <c r="AF1125" t="str">
        <f t="shared" si="58"/>
        <v>1</v>
      </c>
      <c r="AG1125" t="str">
        <f t="shared" si="59"/>
        <v>CH₃C₆H₄OH (g)</v>
      </c>
      <c r="AH1125" t="s">
        <v>3909</v>
      </c>
      <c r="AI1125" t="s">
        <v>3910</v>
      </c>
      <c r="AJ1125" t="s">
        <v>3910</v>
      </c>
      <c r="AK1125" t="s">
        <v>3914</v>
      </c>
      <c r="AL1125" t="s">
        <v>3915</v>
      </c>
      <c r="AS1125" t="s">
        <v>47</v>
      </c>
      <c r="AX1125" s="6">
        <v>108.14</v>
      </c>
      <c r="AY1125" s="6" t="s">
        <v>3916</v>
      </c>
      <c r="AZ1125" s="6">
        <v>356.8</v>
      </c>
      <c r="BA1125" s="6"/>
      <c r="BB1125" s="6">
        <v>-40.47</v>
      </c>
    </row>
    <row r="1126" spans="32:55">
      <c r="AF1126" t="str">
        <f t="shared" si="58"/>
        <v>1</v>
      </c>
      <c r="AG1126" t="str">
        <f t="shared" si="59"/>
        <v>CH₃C₆H₄OH (g)</v>
      </c>
      <c r="AH1126" t="s">
        <v>3909</v>
      </c>
      <c r="AI1126" t="s">
        <v>3910</v>
      </c>
      <c r="AJ1126" t="s">
        <v>3910</v>
      </c>
      <c r="AK1126" t="s">
        <v>3917</v>
      </c>
      <c r="AL1126" t="s">
        <v>3918</v>
      </c>
      <c r="AS1126" t="s">
        <v>47</v>
      </c>
      <c r="AX1126" s="6">
        <v>108.14</v>
      </c>
      <c r="AY1126" s="6" t="s">
        <v>3919</v>
      </c>
      <c r="AZ1126" s="6">
        <v>347.7</v>
      </c>
      <c r="BA1126" s="6"/>
      <c r="BB1126" s="6">
        <v>-30.81</v>
      </c>
    </row>
    <row r="1127" spans="32:55">
      <c r="AF1127" t="str">
        <f t="shared" si="58"/>
        <v>1</v>
      </c>
      <c r="AG1127" t="str">
        <f t="shared" si="59"/>
        <v>C₆H₄(OH)₂ (s)</v>
      </c>
      <c r="AH1127" t="s">
        <v>3920</v>
      </c>
      <c r="AI1127" t="s">
        <v>3921</v>
      </c>
      <c r="AJ1127" t="s">
        <v>3922</v>
      </c>
      <c r="AK1127" t="s">
        <v>3923</v>
      </c>
      <c r="AL1127" t="s">
        <v>3924</v>
      </c>
      <c r="AS1127" t="s">
        <v>160</v>
      </c>
      <c r="AX1127" s="6">
        <v>110.11</v>
      </c>
      <c r="AY1127" s="6" t="s">
        <v>3925</v>
      </c>
      <c r="AZ1127" s="6">
        <v>150.19999999999999</v>
      </c>
      <c r="BA1127" s="6"/>
      <c r="BB1127" s="6">
        <v>-210</v>
      </c>
    </row>
    <row r="1128" spans="32:55">
      <c r="AF1128" t="str">
        <f t="shared" si="58"/>
        <v>1</v>
      </c>
      <c r="AG1128" t="str">
        <f t="shared" si="59"/>
        <v>C₆H₄(OH)₂ (s)</v>
      </c>
      <c r="AH1128" t="s">
        <v>3920</v>
      </c>
      <c r="AI1128" t="s">
        <v>3921</v>
      </c>
      <c r="AJ1128" t="s">
        <v>3922</v>
      </c>
      <c r="AK1128" t="s">
        <v>3926</v>
      </c>
      <c r="AL1128" t="s">
        <v>3927</v>
      </c>
      <c r="AS1128" t="s">
        <v>160</v>
      </c>
      <c r="AX1128" s="6">
        <v>110.11</v>
      </c>
      <c r="AY1128" s="6" t="s">
        <v>3928</v>
      </c>
      <c r="AZ1128" s="6">
        <v>147.69999999999999</v>
      </c>
      <c r="BA1128" s="6"/>
      <c r="BB1128" s="6">
        <v>-209.15</v>
      </c>
    </row>
    <row r="1129" spans="32:55">
      <c r="AF1129" t="str">
        <f t="shared" si="58"/>
        <v>1</v>
      </c>
      <c r="AG1129" t="str">
        <f t="shared" si="59"/>
        <v>C₆H₄(OH)₂ (s)</v>
      </c>
      <c r="AH1129" t="s">
        <v>3920</v>
      </c>
      <c r="AI1129" t="s">
        <v>3921</v>
      </c>
      <c r="AJ1129" t="s">
        <v>3922</v>
      </c>
      <c r="AK1129" t="s">
        <v>3929</v>
      </c>
      <c r="AL1129" t="s">
        <v>3930</v>
      </c>
      <c r="AS1129" t="s">
        <v>160</v>
      </c>
      <c r="AX1129" s="6">
        <v>110.11</v>
      </c>
      <c r="AY1129" s="6" t="s">
        <v>3931</v>
      </c>
      <c r="AZ1129" s="6">
        <v>140.19999999999999</v>
      </c>
      <c r="BA1129" s="6"/>
      <c r="BB1129" s="6">
        <v>-206.95</v>
      </c>
    </row>
    <row r="1130" spans="32:55">
      <c r="AF1130" t="str">
        <f t="shared" si="58"/>
        <v>1</v>
      </c>
      <c r="AG1130" t="str">
        <f t="shared" si="59"/>
        <v>C₆H₃(OH)₃ (s)</v>
      </c>
      <c r="AH1130" t="s">
        <v>3932</v>
      </c>
      <c r="AI1130" t="s">
        <v>3933</v>
      </c>
      <c r="AJ1130" t="s">
        <v>3934</v>
      </c>
      <c r="AL1130" t="s">
        <v>3935</v>
      </c>
      <c r="AS1130" t="s">
        <v>160</v>
      </c>
      <c r="AX1130" s="6">
        <v>126.11</v>
      </c>
      <c r="AY1130" s="6" t="s">
        <v>3936</v>
      </c>
      <c r="AZ1130" s="6" t="s">
        <v>168</v>
      </c>
      <c r="BA1130" s="6"/>
      <c r="BB1130" s="6" t="s">
        <v>168</v>
      </c>
      <c r="BC1130" s="6"/>
    </row>
    <row r="1131" spans="32:55">
      <c r="AF1131" t="str">
        <f t="shared" si="58"/>
        <v>1</v>
      </c>
      <c r="AG1131" t="str">
        <f t="shared" si="59"/>
        <v>C₆H₃(OH)₃ (s)</v>
      </c>
      <c r="AH1131" t="s">
        <v>3932</v>
      </c>
      <c r="AI1131" t="s">
        <v>3933</v>
      </c>
      <c r="AJ1131" t="s">
        <v>3934</v>
      </c>
      <c r="AK1131" t="s">
        <v>3937</v>
      </c>
      <c r="AL1131" t="s">
        <v>3938</v>
      </c>
      <c r="AS1131" t="s">
        <v>160</v>
      </c>
      <c r="AX1131" s="6">
        <v>126.11</v>
      </c>
      <c r="AY1131" s="6" t="s">
        <v>3939</v>
      </c>
      <c r="AZ1131" s="6" t="s">
        <v>168</v>
      </c>
      <c r="BA1131" s="6"/>
      <c r="BB1131" s="6" t="s">
        <v>168</v>
      </c>
      <c r="BC1131" s="6"/>
    </row>
    <row r="1132" spans="32:55">
      <c r="AF1132">
        <f t="shared" si="58"/>
        <v>0</v>
      </c>
      <c r="AG1132" t="str">
        <f t="shared" si="59"/>
        <v/>
      </c>
      <c r="AH1132" t="s">
        <v>3940</v>
      </c>
      <c r="AI1132" t="s">
        <v>3941</v>
      </c>
      <c r="AJ1132" t="s">
        <v>3941</v>
      </c>
      <c r="AL1132" t="s">
        <v>3942</v>
      </c>
      <c r="AS1132" t="s">
        <v>220</v>
      </c>
      <c r="AX1132" s="6">
        <v>128.56</v>
      </c>
      <c r="AY1132" s="6" t="s">
        <v>168</v>
      </c>
      <c r="AZ1132" s="6" t="s">
        <v>168</v>
      </c>
      <c r="BA1132" s="6"/>
      <c r="BB1132" s="6" t="s">
        <v>168</v>
      </c>
      <c r="BC1132" s="6"/>
    </row>
    <row r="1133" spans="32:55">
      <c r="AF1133" t="str">
        <f t="shared" si="58"/>
        <v>1</v>
      </c>
      <c r="AG1133" t="str">
        <f t="shared" si="59"/>
        <v>ClC₆H₄OH (s)</v>
      </c>
      <c r="AH1133" t="s">
        <v>3940</v>
      </c>
      <c r="AI1133" t="s">
        <v>3941</v>
      </c>
      <c r="AJ1133" t="s">
        <v>3941</v>
      </c>
      <c r="AL1133" t="s">
        <v>3943</v>
      </c>
      <c r="AS1133" t="s">
        <v>160</v>
      </c>
      <c r="AX1133" s="6">
        <v>128.56</v>
      </c>
      <c r="AY1133" s="6" t="s">
        <v>3944</v>
      </c>
      <c r="AZ1133" s="6" t="s">
        <v>168</v>
      </c>
      <c r="BA1133" s="6"/>
      <c r="BB1133" s="6" t="s">
        <v>168</v>
      </c>
      <c r="BC1133" s="6"/>
    </row>
    <row r="1134" spans="32:55">
      <c r="AF1134" t="str">
        <f t="shared" si="58"/>
        <v>1</v>
      </c>
      <c r="AG1134" t="str">
        <f t="shared" si="59"/>
        <v>ClC₆H₄OH (s)</v>
      </c>
      <c r="AH1134" t="s">
        <v>3940</v>
      </c>
      <c r="AI1134" t="s">
        <v>3941</v>
      </c>
      <c r="AJ1134" t="s">
        <v>3941</v>
      </c>
      <c r="AL1134" t="s">
        <v>3945</v>
      </c>
      <c r="AS1134" t="s">
        <v>160</v>
      </c>
      <c r="AX1134" s="6">
        <v>128.56</v>
      </c>
      <c r="AY1134" s="6" t="s">
        <v>3946</v>
      </c>
      <c r="AZ1134" s="6" t="s">
        <v>168</v>
      </c>
      <c r="BA1134" s="6"/>
      <c r="BB1134" s="6" t="s">
        <v>168</v>
      </c>
      <c r="BC1134" s="6"/>
    </row>
    <row r="1135" spans="32:55">
      <c r="AF1135">
        <f t="shared" si="58"/>
        <v>0</v>
      </c>
      <c r="AG1135" t="str">
        <f t="shared" si="59"/>
        <v/>
      </c>
      <c r="AH1135" t="s">
        <v>3947</v>
      </c>
      <c r="AI1135" t="s">
        <v>3948</v>
      </c>
      <c r="AJ1135" t="s">
        <v>3948</v>
      </c>
      <c r="AL1135" t="s">
        <v>3949</v>
      </c>
      <c r="AS1135" t="s">
        <v>220</v>
      </c>
      <c r="AX1135" s="6">
        <v>139.11000000000001</v>
      </c>
      <c r="AY1135" s="6" t="s">
        <v>168</v>
      </c>
      <c r="AZ1135" s="6" t="s">
        <v>168</v>
      </c>
      <c r="BA1135" s="6"/>
      <c r="BB1135" s="6" t="s">
        <v>168</v>
      </c>
      <c r="BC1135" s="6"/>
    </row>
    <row r="1136" spans="32:55">
      <c r="AF1136">
        <f t="shared" si="58"/>
        <v>0</v>
      </c>
      <c r="AG1136" t="str">
        <f t="shared" si="59"/>
        <v/>
      </c>
      <c r="AH1136" t="s">
        <v>3947</v>
      </c>
      <c r="AI1136" t="s">
        <v>3948</v>
      </c>
      <c r="AJ1136" t="s">
        <v>3948</v>
      </c>
      <c r="AL1136" t="s">
        <v>3950</v>
      </c>
      <c r="AS1136" t="s">
        <v>220</v>
      </c>
      <c r="AX1136" s="6">
        <v>139.11000000000001</v>
      </c>
      <c r="AY1136" s="6" t="s">
        <v>168</v>
      </c>
      <c r="AZ1136" s="6" t="s">
        <v>168</v>
      </c>
      <c r="BA1136" s="6"/>
      <c r="BB1136" s="6" t="s">
        <v>168</v>
      </c>
      <c r="BC1136" s="6"/>
    </row>
    <row r="1137" spans="32:55">
      <c r="AF1137">
        <f t="shared" si="58"/>
        <v>0</v>
      </c>
      <c r="AG1137" t="str">
        <f t="shared" si="59"/>
        <v/>
      </c>
      <c r="AH1137" t="s">
        <v>3947</v>
      </c>
      <c r="AI1137" t="s">
        <v>3948</v>
      </c>
      <c r="AJ1137" t="s">
        <v>3948</v>
      </c>
      <c r="AL1137" t="s">
        <v>3951</v>
      </c>
      <c r="AS1137" t="s">
        <v>220</v>
      </c>
      <c r="AX1137" s="6">
        <v>139.11000000000001</v>
      </c>
      <c r="AY1137" s="6" t="s">
        <v>168</v>
      </c>
      <c r="AZ1137" s="6" t="s">
        <v>168</v>
      </c>
      <c r="BA1137" s="6"/>
      <c r="BB1137" s="6" t="s">
        <v>168</v>
      </c>
      <c r="BC1137" s="6"/>
    </row>
    <row r="1138" spans="32:55">
      <c r="AF1138" t="str">
        <f t="shared" si="58"/>
        <v>1</v>
      </c>
      <c r="AG1138" t="str">
        <f t="shared" si="59"/>
        <v>C₁₀H₇OH (g)</v>
      </c>
      <c r="AH1138" t="s">
        <v>3952</v>
      </c>
      <c r="AI1138" t="s">
        <v>3953</v>
      </c>
      <c r="AJ1138" t="s">
        <v>3953</v>
      </c>
      <c r="AL1138" t="s">
        <v>3954</v>
      </c>
      <c r="AS1138" t="s">
        <v>47</v>
      </c>
      <c r="AX1138" s="6">
        <v>144.16999999999999</v>
      </c>
      <c r="AY1138" s="6" t="s">
        <v>3955</v>
      </c>
      <c r="AZ1138" s="6" t="s">
        <v>168</v>
      </c>
      <c r="BA1138" s="6"/>
      <c r="BB1138" s="6" t="s">
        <v>168</v>
      </c>
      <c r="BC1138" s="6"/>
    </row>
    <row r="1139" spans="32:55">
      <c r="AF1139" t="str">
        <f t="shared" si="58"/>
        <v>1</v>
      </c>
      <c r="AG1139" t="str">
        <f t="shared" si="59"/>
        <v>C₁₀H₇OH (g)</v>
      </c>
      <c r="AH1139" t="s">
        <v>3952</v>
      </c>
      <c r="AI1139" t="s">
        <v>3953</v>
      </c>
      <c r="AJ1139" t="s">
        <v>3953</v>
      </c>
      <c r="AL1139" t="s">
        <v>3956</v>
      </c>
      <c r="AS1139" t="s">
        <v>47</v>
      </c>
      <c r="AX1139" s="6">
        <v>144.16999999999999</v>
      </c>
      <c r="AY1139" s="6" t="s">
        <v>3957</v>
      </c>
      <c r="AZ1139" s="6">
        <v>366.6</v>
      </c>
      <c r="BA1139" s="6"/>
      <c r="BB1139" s="6" t="s">
        <v>168</v>
      </c>
      <c r="BC1139" s="6"/>
    </row>
    <row r="1140" spans="32:55">
      <c r="AF1140">
        <f t="shared" si="58"/>
        <v>0</v>
      </c>
      <c r="AG1140" t="str">
        <f t="shared" si="59"/>
        <v/>
      </c>
      <c r="AH1140" t="s">
        <v>3958</v>
      </c>
      <c r="AI1140" t="s">
        <v>3959</v>
      </c>
      <c r="AJ1140" t="s">
        <v>3959</v>
      </c>
      <c r="AL1140" t="s">
        <v>3960</v>
      </c>
      <c r="AS1140" t="s">
        <v>220</v>
      </c>
      <c r="AX1140" s="6">
        <v>218.2</v>
      </c>
      <c r="AY1140" s="6" t="s">
        <v>168</v>
      </c>
      <c r="AZ1140" s="6" t="s">
        <v>168</v>
      </c>
      <c r="BA1140" s="6"/>
      <c r="BB1140" s="6" t="s">
        <v>168</v>
      </c>
      <c r="BC1140" s="6"/>
    </row>
    <row r="1141" spans="32:55">
      <c r="AF1141">
        <f t="shared" si="58"/>
        <v>0</v>
      </c>
      <c r="AG1141" t="str">
        <f t="shared" si="59"/>
        <v>HOC₆H₂(NO₂)₃ (s)</v>
      </c>
      <c r="AH1141" t="s">
        <v>3961</v>
      </c>
      <c r="AI1141" t="s">
        <v>3962</v>
      </c>
      <c r="AJ1141" t="s">
        <v>3963</v>
      </c>
      <c r="AK1141" t="s">
        <v>3964</v>
      </c>
      <c r="AL1141" t="s">
        <v>3965</v>
      </c>
      <c r="AS1141" t="s">
        <v>160</v>
      </c>
      <c r="AX1141" s="6">
        <v>229.1</v>
      </c>
      <c r="AY1141" s="6" t="s">
        <v>476</v>
      </c>
      <c r="AZ1141" s="6" t="s">
        <v>168</v>
      </c>
      <c r="BA1141" s="6"/>
      <c r="BB1141" s="6" t="s">
        <v>168</v>
      </c>
      <c r="BC1141" s="6"/>
    </row>
    <row r="1142" spans="32:55">
      <c r="AF1142">
        <f t="shared" si="58"/>
        <v>0</v>
      </c>
      <c r="AG1142" t="str">
        <f t="shared" si="59"/>
        <v>C₂H₄O (g)</v>
      </c>
      <c r="AH1142" t="s">
        <v>3966</v>
      </c>
      <c r="AI1142" t="s">
        <v>3967</v>
      </c>
      <c r="AJ1142" t="s">
        <v>3967</v>
      </c>
      <c r="AL1142" t="s">
        <v>3968</v>
      </c>
      <c r="AS1142" t="s">
        <v>47</v>
      </c>
      <c r="AX1142" s="6">
        <v>44.05</v>
      </c>
      <c r="AY1142" s="6" t="s">
        <v>3969</v>
      </c>
      <c r="AZ1142" s="6">
        <v>242.5</v>
      </c>
      <c r="BA1142" s="6"/>
      <c r="BB1142" s="6">
        <v>-13</v>
      </c>
    </row>
    <row r="1143" spans="32:55">
      <c r="AF1143">
        <f t="shared" si="58"/>
        <v>0</v>
      </c>
      <c r="AG1143" t="str">
        <f t="shared" si="59"/>
        <v>(CH₃)₂O (g)</v>
      </c>
      <c r="AH1143" t="s">
        <v>3970</v>
      </c>
      <c r="AI1143" t="s">
        <v>3971</v>
      </c>
      <c r="AJ1143" t="s">
        <v>3972</v>
      </c>
      <c r="AK1143" t="s">
        <v>3973</v>
      </c>
      <c r="AL1143" t="s">
        <v>3974</v>
      </c>
      <c r="AS1143" t="s">
        <v>47</v>
      </c>
      <c r="AX1143" s="6">
        <v>46.07</v>
      </c>
      <c r="AY1143" s="6" t="s">
        <v>3975</v>
      </c>
      <c r="AZ1143" s="6">
        <v>266.39999999999998</v>
      </c>
      <c r="BA1143" s="6"/>
      <c r="BB1143" s="6">
        <v>-112.6</v>
      </c>
    </row>
    <row r="1144" spans="32:55">
      <c r="AF1144">
        <f t="shared" si="58"/>
        <v>0</v>
      </c>
      <c r="AG1144" t="str">
        <f t="shared" si="59"/>
        <v>CH₃OCH₂CH₃ (g)</v>
      </c>
      <c r="AH1144" t="s">
        <v>3976</v>
      </c>
      <c r="AI1144" t="s">
        <v>3977</v>
      </c>
      <c r="AJ1144" t="s">
        <v>3977</v>
      </c>
      <c r="AK1144" t="s">
        <v>3978</v>
      </c>
      <c r="AL1144" t="s">
        <v>3979</v>
      </c>
      <c r="AS1144" t="s">
        <v>47</v>
      </c>
      <c r="AX1144" s="6">
        <v>60.09</v>
      </c>
      <c r="AY1144" s="6" t="s">
        <v>3980</v>
      </c>
      <c r="AZ1144" s="6">
        <v>309.2</v>
      </c>
      <c r="BA1144" s="6"/>
      <c r="BB1144" s="6">
        <v>-117.6</v>
      </c>
    </row>
    <row r="1145" spans="32:55">
      <c r="AF1145">
        <f t="shared" si="58"/>
        <v>0</v>
      </c>
      <c r="AG1145" t="str">
        <f t="shared" si="59"/>
        <v>C₄H₄O (g)</v>
      </c>
      <c r="AH1145" t="s">
        <v>3981</v>
      </c>
      <c r="AI1145" t="s">
        <v>3982</v>
      </c>
      <c r="AJ1145" t="s">
        <v>3982</v>
      </c>
      <c r="AL1145" t="s">
        <v>3983</v>
      </c>
      <c r="AS1145" t="s">
        <v>47</v>
      </c>
      <c r="AX1145" s="6">
        <v>68.069999999999993</v>
      </c>
      <c r="AY1145" s="6" t="s">
        <v>3984</v>
      </c>
      <c r="AZ1145" s="6">
        <v>267.2</v>
      </c>
      <c r="BA1145" s="6"/>
      <c r="BB1145" s="6">
        <v>0.88</v>
      </c>
    </row>
    <row r="1146" spans="32:55">
      <c r="AF1146">
        <f t="shared" si="58"/>
        <v>0</v>
      </c>
      <c r="AG1146" t="str">
        <f t="shared" si="59"/>
        <v>(CH₂)₄O (l)</v>
      </c>
      <c r="AH1146" t="s">
        <v>3985</v>
      </c>
      <c r="AI1146" t="s">
        <v>3986</v>
      </c>
      <c r="AJ1146" t="s">
        <v>3987</v>
      </c>
      <c r="AL1146" t="s">
        <v>3988</v>
      </c>
      <c r="AS1146" t="s">
        <v>239</v>
      </c>
      <c r="AX1146" s="6">
        <v>72.11</v>
      </c>
      <c r="AY1146" s="6" t="s">
        <v>3989</v>
      </c>
      <c r="AZ1146" s="6">
        <v>204.3</v>
      </c>
      <c r="BA1146" s="6"/>
      <c r="BB1146" s="6" t="s">
        <v>168</v>
      </c>
      <c r="BC1146" s="6"/>
    </row>
    <row r="1147" spans="32:55">
      <c r="AF1147">
        <f t="shared" si="58"/>
        <v>0</v>
      </c>
      <c r="AG1147" t="str">
        <f t="shared" si="59"/>
        <v>(CH₃CH₂)₂O (l)</v>
      </c>
      <c r="AH1147" t="s">
        <v>3990</v>
      </c>
      <c r="AI1147" t="s">
        <v>3991</v>
      </c>
      <c r="AJ1147" t="s">
        <v>3992</v>
      </c>
      <c r="AK1147" t="s">
        <v>3993</v>
      </c>
      <c r="AL1147" t="s">
        <v>3994</v>
      </c>
      <c r="AS1147" t="s">
        <v>239</v>
      </c>
      <c r="AX1147" s="6">
        <v>74.12</v>
      </c>
      <c r="AY1147" s="6" t="s">
        <v>3995</v>
      </c>
      <c r="AZ1147" s="6">
        <v>172.4</v>
      </c>
      <c r="BA1147" s="6"/>
      <c r="BB1147" s="6">
        <v>-116.57</v>
      </c>
    </row>
    <row r="1148" spans="32:55">
      <c r="AF1148">
        <f t="shared" si="58"/>
        <v>0</v>
      </c>
      <c r="AG1148" t="str">
        <f t="shared" si="59"/>
        <v>(CH₃CH₂)₂O (g)</v>
      </c>
      <c r="AH1148" t="s">
        <v>3990</v>
      </c>
      <c r="AI1148" t="s">
        <v>3991</v>
      </c>
      <c r="AJ1148" t="s">
        <v>3992</v>
      </c>
      <c r="AL1148" t="s">
        <v>3994</v>
      </c>
      <c r="AS1148" t="s">
        <v>47</v>
      </c>
      <c r="AX1148" s="6">
        <v>74.12</v>
      </c>
      <c r="AY1148" s="6" t="s">
        <v>3996</v>
      </c>
      <c r="AZ1148" s="6">
        <v>342.7</v>
      </c>
      <c r="BA1148" s="6"/>
      <c r="BB1148" s="6">
        <v>-122.29</v>
      </c>
    </row>
    <row r="1149" spans="32:55">
      <c r="AF1149">
        <f t="shared" si="58"/>
        <v>0</v>
      </c>
      <c r="AG1149" t="str">
        <f t="shared" si="59"/>
        <v>CH₃(CH₂)₂OCH₃ (l)</v>
      </c>
      <c r="AH1149" t="s">
        <v>3997</v>
      </c>
      <c r="AI1149" t="s">
        <v>3998</v>
      </c>
      <c r="AJ1149" t="s">
        <v>3999</v>
      </c>
      <c r="AL1149" t="s">
        <v>4000</v>
      </c>
      <c r="AS1149" t="s">
        <v>239</v>
      </c>
      <c r="AX1149" s="6">
        <v>74.12</v>
      </c>
      <c r="AY1149" s="6" t="s">
        <v>4001</v>
      </c>
      <c r="AZ1149" s="6">
        <v>253.8</v>
      </c>
      <c r="BA1149" s="6"/>
      <c r="BB1149" s="6" t="s">
        <v>168</v>
      </c>
      <c r="BC1149" s="6"/>
    </row>
    <row r="1150" spans="32:55">
      <c r="AF1150">
        <f t="shared" si="58"/>
        <v>0</v>
      </c>
      <c r="AG1150" t="str">
        <f t="shared" si="59"/>
        <v/>
      </c>
      <c r="AH1150" t="s">
        <v>4002</v>
      </c>
      <c r="AI1150" t="s">
        <v>4003</v>
      </c>
      <c r="AJ1150" t="s">
        <v>4004</v>
      </c>
      <c r="AL1150" t="s">
        <v>4005</v>
      </c>
      <c r="AS1150" t="s">
        <v>220</v>
      </c>
      <c r="AX1150" s="6">
        <v>88.15</v>
      </c>
      <c r="AY1150" s="6" t="s">
        <v>4006</v>
      </c>
      <c r="AZ1150" s="6">
        <v>265.3</v>
      </c>
      <c r="BA1150" s="6"/>
      <c r="BB1150" s="6" t="s">
        <v>168</v>
      </c>
      <c r="BC1150" s="6"/>
    </row>
    <row r="1151" spans="32:55">
      <c r="AF1151">
        <f t="shared" si="58"/>
        <v>0</v>
      </c>
      <c r="AG1151" t="str">
        <f t="shared" si="59"/>
        <v>-(CH₂OCH₂)₂- (l)</v>
      </c>
      <c r="AH1151" t="s">
        <v>4007</v>
      </c>
      <c r="AI1151" t="s">
        <v>4008</v>
      </c>
      <c r="AJ1151" t="s">
        <v>4009</v>
      </c>
      <c r="AL1151" t="s">
        <v>4010</v>
      </c>
      <c r="AS1151" t="s">
        <v>239</v>
      </c>
      <c r="AX1151" s="6">
        <v>88.1</v>
      </c>
      <c r="AY1151" s="6" t="s">
        <v>4011</v>
      </c>
      <c r="AZ1151" s="6">
        <v>270.2</v>
      </c>
      <c r="BA1151" s="6"/>
      <c r="BB1151" s="6">
        <v>-188.03</v>
      </c>
    </row>
    <row r="1152" spans="32:55">
      <c r="AF1152">
        <f t="shared" si="58"/>
        <v>0</v>
      </c>
      <c r="AG1152" t="str">
        <f t="shared" si="59"/>
        <v>-(CH₂OCH₂)₂- (g)</v>
      </c>
      <c r="AH1152" t="s">
        <v>4007</v>
      </c>
      <c r="AI1152" t="s">
        <v>4008</v>
      </c>
      <c r="AJ1152" t="s">
        <v>4009</v>
      </c>
      <c r="AL1152" t="s">
        <v>4010</v>
      </c>
      <c r="AS1152" t="s">
        <v>47</v>
      </c>
      <c r="AX1152" s="6">
        <v>88.1</v>
      </c>
      <c r="AY1152" s="6" t="s">
        <v>4012</v>
      </c>
      <c r="AZ1152" s="6">
        <v>299.89999999999998</v>
      </c>
      <c r="BA1152" s="6"/>
      <c r="BB1152" s="6">
        <v>-180.74</v>
      </c>
    </row>
    <row r="1153" spans="32:55">
      <c r="AF1153">
        <f t="shared" si="58"/>
        <v>0</v>
      </c>
      <c r="AG1153" t="str">
        <f t="shared" si="59"/>
        <v>CH₃OCH₂CH₂OCH₃ (l)</v>
      </c>
      <c r="AH1153" t="s">
        <v>4013</v>
      </c>
      <c r="AI1153" t="s">
        <v>4014</v>
      </c>
      <c r="AJ1153" t="s">
        <v>4014</v>
      </c>
      <c r="AK1153" t="s">
        <v>4015</v>
      </c>
      <c r="AL1153" t="s">
        <v>4016</v>
      </c>
      <c r="AS1153" t="s">
        <v>239</v>
      </c>
      <c r="AX1153" s="6">
        <v>90.12</v>
      </c>
      <c r="AY1153" s="6" t="s">
        <v>4017</v>
      </c>
      <c r="AZ1153" s="6" t="s">
        <v>168</v>
      </c>
      <c r="BA1153" s="6"/>
      <c r="BB1153" s="6" t="s">
        <v>168</v>
      </c>
      <c r="BC1153" s="6"/>
    </row>
    <row r="1154" spans="32:55">
      <c r="AF1154">
        <f t="shared" si="58"/>
        <v>0</v>
      </c>
      <c r="AG1154" t="str">
        <f t="shared" si="59"/>
        <v>(CH₃CH₂CH₂)₂O (l)</v>
      </c>
      <c r="AH1154" t="s">
        <v>4018</v>
      </c>
      <c r="AI1154" t="s">
        <v>4019</v>
      </c>
      <c r="AJ1154" t="s">
        <v>4020</v>
      </c>
      <c r="AL1154" t="s">
        <v>4021</v>
      </c>
      <c r="AS1154" t="s">
        <v>239</v>
      </c>
      <c r="AX1154" s="6">
        <v>102.18</v>
      </c>
      <c r="AY1154" s="6" t="s">
        <v>4022</v>
      </c>
      <c r="AZ1154" s="6">
        <v>323.89999999999998</v>
      </c>
      <c r="BA1154" s="6"/>
      <c r="BB1154" s="6" t="s">
        <v>168</v>
      </c>
      <c r="BC1154" s="6"/>
    </row>
    <row r="1155" spans="32:55">
      <c r="AF1155">
        <f t="shared" ref="AF1155:AF1218" si="60">IF(OR(AG1155="",COUNTIF(AG:AG, AG1155) = 1),0, "1")</f>
        <v>0</v>
      </c>
      <c r="AG1155" t="str">
        <f t="shared" ref="AG1155:AG1218" si="61">IF(AS1155 &lt;&gt; "",AH1155&amp;" ("&amp;AS1155 &amp;")","")</f>
        <v>(HOCH₂CH₂)₂O (l)</v>
      </c>
      <c r="AH1155" t="s">
        <v>4023</v>
      </c>
      <c r="AI1155" t="s">
        <v>4024</v>
      </c>
      <c r="AJ1155" t="s">
        <v>4025</v>
      </c>
      <c r="AK1155" t="s">
        <v>4026</v>
      </c>
      <c r="AL1155" t="s">
        <v>4027</v>
      </c>
      <c r="AS1155" t="s">
        <v>239</v>
      </c>
      <c r="AX1155" s="6">
        <v>106.12</v>
      </c>
      <c r="AY1155" s="6" t="s">
        <v>4028</v>
      </c>
      <c r="AZ1155" s="6" t="s">
        <v>168</v>
      </c>
      <c r="BA1155" s="6"/>
      <c r="BB1155" s="6" t="s">
        <v>168</v>
      </c>
      <c r="BC1155" s="6"/>
    </row>
    <row r="1156" spans="32:55">
      <c r="AF1156">
        <f t="shared" si="60"/>
        <v>0</v>
      </c>
      <c r="AG1156" t="str">
        <f t="shared" si="61"/>
        <v>CH₃OC₆H₅ (g)</v>
      </c>
      <c r="AH1156" t="s">
        <v>4029</v>
      </c>
      <c r="AI1156" t="s">
        <v>4030</v>
      </c>
      <c r="AJ1156" t="s">
        <v>4030</v>
      </c>
      <c r="AK1156" t="s">
        <v>4031</v>
      </c>
      <c r="AL1156" t="s">
        <v>4032</v>
      </c>
      <c r="AS1156" t="s">
        <v>47</v>
      </c>
      <c r="AX1156" s="6">
        <v>108.14</v>
      </c>
      <c r="AY1156" s="6" t="s">
        <v>4033</v>
      </c>
      <c r="AZ1156" s="6" t="s">
        <v>168</v>
      </c>
      <c r="BA1156" s="6"/>
      <c r="BB1156" s="6" t="s">
        <v>168</v>
      </c>
      <c r="BC1156" s="6"/>
    </row>
    <row r="1157" spans="32:55">
      <c r="AF1157">
        <f t="shared" si="60"/>
        <v>0</v>
      </c>
      <c r="AG1157" t="str">
        <f t="shared" si="61"/>
        <v>CH₃CH₂OC₆H₅ (l)</v>
      </c>
      <c r="AH1157" t="s">
        <v>4034</v>
      </c>
      <c r="AI1157" t="s">
        <v>4035</v>
      </c>
      <c r="AJ1157" t="s">
        <v>4035</v>
      </c>
      <c r="AL1157" t="s">
        <v>4036</v>
      </c>
      <c r="AS1157" t="s">
        <v>239</v>
      </c>
      <c r="AX1157" s="6">
        <v>122.17</v>
      </c>
      <c r="AY1157" s="6" t="s">
        <v>4037</v>
      </c>
      <c r="AZ1157" s="6" t="s">
        <v>168</v>
      </c>
      <c r="BA1157" s="6"/>
      <c r="BB1157" s="6" t="s">
        <v>168</v>
      </c>
      <c r="BC1157" s="6"/>
    </row>
    <row r="1158" spans="32:55">
      <c r="AF1158">
        <f t="shared" si="60"/>
        <v>0</v>
      </c>
      <c r="AG1158" t="str">
        <f t="shared" si="61"/>
        <v/>
      </c>
      <c r="AH1158" t="s">
        <v>4038</v>
      </c>
      <c r="AI1158" t="s">
        <v>4039</v>
      </c>
      <c r="AJ1158" t="s">
        <v>4039</v>
      </c>
      <c r="AL1158" t="s">
        <v>4040</v>
      </c>
      <c r="AS1158" t="s">
        <v>220</v>
      </c>
      <c r="AX1158" s="6">
        <v>146.15</v>
      </c>
      <c r="AY1158" s="6" t="s">
        <v>168</v>
      </c>
      <c r="AZ1158" s="6" t="s">
        <v>168</v>
      </c>
      <c r="BA1158" s="6"/>
      <c r="BB1158" s="6" t="s">
        <v>168</v>
      </c>
      <c r="BC1158" s="6"/>
    </row>
    <row r="1159" spans="32:55">
      <c r="AF1159">
        <f t="shared" si="60"/>
        <v>0</v>
      </c>
      <c r="AG1159" t="str">
        <f t="shared" si="61"/>
        <v>(C₆H₅)₂O (l)</v>
      </c>
      <c r="AH1159" t="s">
        <v>4041</v>
      </c>
      <c r="AI1159" t="s">
        <v>4042</v>
      </c>
      <c r="AJ1159" t="s">
        <v>4043</v>
      </c>
      <c r="AL1159" t="s">
        <v>4044</v>
      </c>
      <c r="AS1159" t="s">
        <v>239</v>
      </c>
      <c r="AX1159" s="6">
        <v>170.21</v>
      </c>
      <c r="AY1159" s="6" t="s">
        <v>4045</v>
      </c>
      <c r="AZ1159" s="6">
        <v>291.3</v>
      </c>
      <c r="BA1159" s="6"/>
      <c r="BB1159" s="6">
        <v>144.27000000000001</v>
      </c>
    </row>
    <row r="1160" spans="32:55">
      <c r="AF1160">
        <f t="shared" si="60"/>
        <v>0</v>
      </c>
      <c r="AG1160" t="str">
        <f t="shared" si="61"/>
        <v/>
      </c>
      <c r="AH1160" t="s">
        <v>4046</v>
      </c>
      <c r="AI1160" t="s">
        <v>4047</v>
      </c>
      <c r="AJ1160" t="s">
        <v>4047</v>
      </c>
      <c r="AL1160" t="s">
        <v>4048</v>
      </c>
      <c r="AS1160" t="s">
        <v>220</v>
      </c>
      <c r="AX1160" s="6">
        <v>192.22</v>
      </c>
      <c r="AY1160" s="6" t="s">
        <v>168</v>
      </c>
      <c r="AZ1160" s="6" t="s">
        <v>168</v>
      </c>
      <c r="BA1160" s="6"/>
      <c r="BB1160" s="6" t="s">
        <v>168</v>
      </c>
      <c r="BC1160" s="6"/>
    </row>
    <row r="1161" spans="32:55">
      <c r="AF1161">
        <f t="shared" si="60"/>
        <v>0</v>
      </c>
      <c r="AG1161" t="str">
        <f t="shared" si="61"/>
        <v/>
      </c>
      <c r="AH1161" t="s">
        <v>4049</v>
      </c>
      <c r="AI1161" t="s">
        <v>4050</v>
      </c>
      <c r="AJ1161" t="s">
        <v>4051</v>
      </c>
      <c r="AL1161" t="s">
        <v>4052</v>
      </c>
      <c r="AS1161" t="s">
        <v>220</v>
      </c>
      <c r="AX1161" s="6">
        <v>198.27</v>
      </c>
      <c r="AY1161" s="6" t="s">
        <v>168</v>
      </c>
      <c r="AZ1161" s="6" t="s">
        <v>168</v>
      </c>
      <c r="BA1161" s="6"/>
      <c r="BB1161" s="6" t="s">
        <v>168</v>
      </c>
      <c r="BC1161" s="6"/>
    </row>
    <row r="1162" spans="32:55">
      <c r="AF1162">
        <f t="shared" si="60"/>
        <v>0</v>
      </c>
      <c r="AG1162" t="str">
        <f t="shared" si="61"/>
        <v/>
      </c>
      <c r="AH1162" t="s">
        <v>4053</v>
      </c>
      <c r="AI1162" t="s">
        <v>4054</v>
      </c>
      <c r="AJ1162" t="s">
        <v>4054</v>
      </c>
      <c r="AL1162" t="s">
        <v>4055</v>
      </c>
      <c r="AS1162" t="s">
        <v>220</v>
      </c>
      <c r="AX1162" s="6">
        <v>264.32</v>
      </c>
      <c r="AY1162" s="6" t="s">
        <v>168</v>
      </c>
      <c r="AZ1162" s="6" t="s">
        <v>168</v>
      </c>
      <c r="BA1162" s="6"/>
      <c r="BB1162" s="6" t="s">
        <v>168</v>
      </c>
      <c r="BC1162" s="6"/>
    </row>
    <row r="1163" spans="32:55">
      <c r="AF1163">
        <f t="shared" si="60"/>
        <v>0</v>
      </c>
      <c r="AG1163" t="str">
        <f t="shared" si="61"/>
        <v>HCHO (g)</v>
      </c>
      <c r="AH1163" t="s">
        <v>4056</v>
      </c>
      <c r="AI1163" t="s">
        <v>4056</v>
      </c>
      <c r="AJ1163" t="s">
        <v>4056</v>
      </c>
      <c r="AK1163" t="s">
        <v>4057</v>
      </c>
      <c r="AL1163" t="s">
        <v>4058</v>
      </c>
      <c r="AS1163" t="s">
        <v>47</v>
      </c>
      <c r="AX1163" s="6">
        <v>30.03</v>
      </c>
      <c r="AY1163" s="6" t="s">
        <v>4059</v>
      </c>
      <c r="AZ1163" s="6">
        <v>218.8</v>
      </c>
      <c r="BA1163" s="6"/>
      <c r="BB1163" s="6">
        <v>-102.5</v>
      </c>
    </row>
    <row r="1164" spans="32:55">
      <c r="AF1164">
        <f t="shared" si="60"/>
        <v>0</v>
      </c>
      <c r="AG1164" t="str">
        <f t="shared" si="61"/>
        <v>HCHO (aq)</v>
      </c>
      <c r="AH1164" t="s">
        <v>4056</v>
      </c>
      <c r="AI1164" t="s">
        <v>4056</v>
      </c>
      <c r="AJ1164" t="s">
        <v>4056</v>
      </c>
      <c r="AL1164" t="s">
        <v>4058</v>
      </c>
      <c r="AS1164" t="s">
        <v>48</v>
      </c>
      <c r="AX1164" s="6">
        <v>30.03</v>
      </c>
      <c r="AY1164" s="6" t="s">
        <v>4060</v>
      </c>
      <c r="AZ1164" s="6" t="s">
        <v>168</v>
      </c>
      <c r="BA1164" s="6"/>
      <c r="BB1164" s="6">
        <v>-129.78</v>
      </c>
    </row>
    <row r="1165" spans="32:55">
      <c r="AF1165">
        <f t="shared" si="60"/>
        <v>0</v>
      </c>
      <c r="AG1165" t="str">
        <f t="shared" si="61"/>
        <v>-(CH₂-O)₃ (s)</v>
      </c>
      <c r="AH1165" t="s">
        <v>4061</v>
      </c>
      <c r="AI1165" t="s">
        <v>4062</v>
      </c>
      <c r="AJ1165" t="s">
        <v>4063</v>
      </c>
      <c r="AL1165" t="s">
        <v>4064</v>
      </c>
      <c r="AS1165" t="s">
        <v>160</v>
      </c>
      <c r="AX1165" s="6" t="s">
        <v>4065</v>
      </c>
      <c r="AY1165" s="6" t="s">
        <v>4066</v>
      </c>
      <c r="AZ1165" s="6">
        <v>133</v>
      </c>
      <c r="BA1165" s="6"/>
      <c r="BB1165" s="6" t="s">
        <v>168</v>
      </c>
      <c r="BC1165" s="6"/>
    </row>
    <row r="1166" spans="32:55">
      <c r="AF1166">
        <f t="shared" si="60"/>
        <v>0</v>
      </c>
      <c r="AG1166" t="str">
        <f t="shared" si="61"/>
        <v>CH₃CHO (l)</v>
      </c>
      <c r="AH1166" t="s">
        <v>4067</v>
      </c>
      <c r="AI1166" t="s">
        <v>4068</v>
      </c>
      <c r="AJ1166" t="s">
        <v>4068</v>
      </c>
      <c r="AK1166" t="s">
        <v>4069</v>
      </c>
      <c r="AL1166" t="s">
        <v>4070</v>
      </c>
      <c r="AS1166" t="s">
        <v>239</v>
      </c>
      <c r="AX1166" s="6">
        <v>44.05</v>
      </c>
      <c r="AY1166" s="6" t="s">
        <v>4071</v>
      </c>
      <c r="AZ1166" s="6">
        <v>160.19999999999999</v>
      </c>
      <c r="BA1166" s="6"/>
      <c r="BB1166" s="6">
        <v>-127.6</v>
      </c>
    </row>
    <row r="1167" spans="32:55">
      <c r="AF1167">
        <f t="shared" si="60"/>
        <v>0</v>
      </c>
      <c r="AG1167" t="str">
        <f t="shared" si="61"/>
        <v>CH₃CHO (g)</v>
      </c>
      <c r="AH1167" t="s">
        <v>4067</v>
      </c>
      <c r="AI1167" t="s">
        <v>4068</v>
      </c>
      <c r="AJ1167" t="s">
        <v>4068</v>
      </c>
      <c r="AL1167" t="s">
        <v>4070</v>
      </c>
      <c r="AS1167" t="s">
        <v>47</v>
      </c>
      <c r="AX1167" s="6">
        <v>44.05</v>
      </c>
      <c r="AY1167" s="6" t="s">
        <v>4072</v>
      </c>
      <c r="AZ1167" s="6">
        <v>263.8</v>
      </c>
      <c r="BA1167" s="6"/>
      <c r="BB1167" s="6">
        <v>-133</v>
      </c>
    </row>
    <row r="1168" spans="32:55">
      <c r="AF1168">
        <f t="shared" si="60"/>
        <v>0</v>
      </c>
      <c r="AG1168" t="str">
        <f t="shared" si="61"/>
        <v>CH3CHO (aq)</v>
      </c>
      <c r="AH1168" t="s">
        <v>4068</v>
      </c>
      <c r="AI1168" t="s">
        <v>4068</v>
      </c>
      <c r="AJ1168" t="s">
        <v>4068</v>
      </c>
      <c r="AL1168" t="s">
        <v>4070</v>
      </c>
      <c r="AS1168" t="s">
        <v>48</v>
      </c>
      <c r="AX1168" s="6">
        <v>44.05</v>
      </c>
      <c r="AY1168" s="6" t="s">
        <v>4073</v>
      </c>
      <c r="AZ1168" s="6">
        <v>129.29</v>
      </c>
      <c r="BA1168" s="6"/>
      <c r="BB1168" s="6">
        <v>139.08000000000001</v>
      </c>
    </row>
    <row r="1169" spans="32:55">
      <c r="AF1169">
        <f t="shared" si="60"/>
        <v>0</v>
      </c>
      <c r="AG1169" t="str">
        <f t="shared" si="61"/>
        <v>-(CH(CH₃)-O)₃- (l)</v>
      </c>
      <c r="AH1169" t="s">
        <v>4074</v>
      </c>
      <c r="AI1169" t="s">
        <v>4075</v>
      </c>
      <c r="AJ1169" t="s">
        <v>4076</v>
      </c>
      <c r="AL1169" t="s">
        <v>4077</v>
      </c>
      <c r="AS1169" t="s">
        <v>239</v>
      </c>
      <c r="AX1169" s="6">
        <v>344.05</v>
      </c>
      <c r="AY1169" s="6" t="s">
        <v>4078</v>
      </c>
      <c r="AZ1169" s="6" t="s">
        <v>168</v>
      </c>
      <c r="BA1169" s="6"/>
      <c r="BB1169" s="6" t="s">
        <v>168</v>
      </c>
      <c r="BC1169" s="6"/>
    </row>
    <row r="1170" spans="32:55">
      <c r="AF1170">
        <f t="shared" si="60"/>
        <v>0</v>
      </c>
      <c r="AG1170" t="str">
        <f t="shared" si="61"/>
        <v>H-CO-CO-H (g)</v>
      </c>
      <c r="AH1170" t="s">
        <v>4079</v>
      </c>
      <c r="AI1170" t="s">
        <v>4079</v>
      </c>
      <c r="AJ1170" t="s">
        <v>4079</v>
      </c>
      <c r="AL1170" t="s">
        <v>4080</v>
      </c>
      <c r="AS1170" t="s">
        <v>47</v>
      </c>
      <c r="AX1170" s="6">
        <v>58.04</v>
      </c>
      <c r="AY1170" s="6" t="s">
        <v>4081</v>
      </c>
      <c r="AZ1170" s="6">
        <v>272.5</v>
      </c>
      <c r="BA1170" s="6"/>
      <c r="BB1170" s="6">
        <v>-189.7</v>
      </c>
    </row>
    <row r="1171" spans="32:55">
      <c r="AF1171">
        <f t="shared" si="60"/>
        <v>0</v>
      </c>
      <c r="AG1171" t="str">
        <f t="shared" si="61"/>
        <v>CH₃CH₂CHO (g)</v>
      </c>
      <c r="AH1171" t="s">
        <v>4082</v>
      </c>
      <c r="AI1171" t="s">
        <v>4083</v>
      </c>
      <c r="AJ1171" t="s">
        <v>4083</v>
      </c>
      <c r="AL1171" t="s">
        <v>4084</v>
      </c>
      <c r="AS1171" t="s">
        <v>47</v>
      </c>
      <c r="AX1171" s="6">
        <v>58.08</v>
      </c>
      <c r="AY1171" s="6" t="s">
        <v>4085</v>
      </c>
      <c r="AZ1171" s="6">
        <v>304.5</v>
      </c>
      <c r="BA1171" s="6"/>
      <c r="BB1171" s="6">
        <v>-130.46</v>
      </c>
    </row>
    <row r="1172" spans="32:55">
      <c r="AF1172">
        <f t="shared" si="60"/>
        <v>0</v>
      </c>
      <c r="AG1172" t="str">
        <f t="shared" si="61"/>
        <v>CH₂=CHCHO (l)</v>
      </c>
      <c r="AH1172" t="s">
        <v>4086</v>
      </c>
      <c r="AI1172" t="s">
        <v>4087</v>
      </c>
      <c r="AJ1172" t="s">
        <v>4087</v>
      </c>
      <c r="AL1172" t="s">
        <v>4088</v>
      </c>
      <c r="AS1172" t="s">
        <v>239</v>
      </c>
      <c r="AX1172" s="6">
        <v>56.07</v>
      </c>
      <c r="AY1172" s="6" t="s">
        <v>4089</v>
      </c>
      <c r="AZ1172" s="6" t="s">
        <v>168</v>
      </c>
      <c r="BA1172" s="6"/>
      <c r="BB1172" s="6">
        <v>-67.66</v>
      </c>
    </row>
    <row r="1173" spans="32:55">
      <c r="AF1173">
        <f t="shared" si="60"/>
        <v>0</v>
      </c>
      <c r="AG1173" t="str">
        <f t="shared" si="61"/>
        <v>CH₂=CHCHO (g)</v>
      </c>
      <c r="AH1173" t="s">
        <v>4086</v>
      </c>
      <c r="AI1173" t="s">
        <v>4087</v>
      </c>
      <c r="AJ1173" t="s">
        <v>4087</v>
      </c>
      <c r="AL1173" t="s">
        <v>4088</v>
      </c>
      <c r="AS1173" t="s">
        <v>47</v>
      </c>
      <c r="AX1173" s="6">
        <v>56.07</v>
      </c>
      <c r="AY1173" s="6" t="s">
        <v>4090</v>
      </c>
      <c r="AZ1173" s="6" t="s">
        <v>168</v>
      </c>
      <c r="BA1173" s="6"/>
      <c r="BB1173" s="6">
        <v>-64.64</v>
      </c>
    </row>
    <row r="1174" spans="32:55">
      <c r="AF1174">
        <f t="shared" si="60"/>
        <v>0</v>
      </c>
      <c r="AG1174" t="str">
        <f t="shared" si="61"/>
        <v>CH₃(CH₂)₂CHO (l)</v>
      </c>
      <c r="AH1174" t="s">
        <v>4091</v>
      </c>
      <c r="AI1174" t="s">
        <v>4092</v>
      </c>
      <c r="AJ1174" t="s">
        <v>4093</v>
      </c>
      <c r="AL1174" t="s">
        <v>4094</v>
      </c>
      <c r="AS1174" t="s">
        <v>239</v>
      </c>
      <c r="AX1174" s="6">
        <v>72.11</v>
      </c>
      <c r="AY1174" s="6" t="s">
        <v>4095</v>
      </c>
      <c r="AZ1174" s="6">
        <v>230.9</v>
      </c>
      <c r="BA1174" s="6"/>
      <c r="BB1174" s="6" t="s">
        <v>168</v>
      </c>
      <c r="BC1174" s="6"/>
    </row>
    <row r="1175" spans="32:55">
      <c r="AF1175">
        <f t="shared" si="60"/>
        <v>0</v>
      </c>
      <c r="AG1175" t="str">
        <f t="shared" si="61"/>
        <v>(CH₃)₂CHCHO (l)</v>
      </c>
      <c r="AH1175" t="s">
        <v>4096</v>
      </c>
      <c r="AI1175" t="s">
        <v>4097</v>
      </c>
      <c r="AJ1175" t="s">
        <v>4098</v>
      </c>
      <c r="AL1175" t="s">
        <v>4099</v>
      </c>
      <c r="AS1175" t="s">
        <v>239</v>
      </c>
      <c r="AX1175" s="6">
        <v>72.11</v>
      </c>
      <c r="AY1175" s="6" t="s">
        <v>3781</v>
      </c>
      <c r="AZ1175" s="6">
        <v>246.6</v>
      </c>
      <c r="BA1175" s="6"/>
      <c r="BB1175" s="6" t="s">
        <v>168</v>
      </c>
      <c r="BC1175" s="6"/>
    </row>
    <row r="1176" spans="32:55">
      <c r="AF1176">
        <f t="shared" si="60"/>
        <v>0</v>
      </c>
      <c r="AG1176" t="str">
        <f t="shared" si="61"/>
        <v>CH₃(CH₂)₃CHO (l)</v>
      </c>
      <c r="AH1176" t="s">
        <v>4100</v>
      </c>
      <c r="AI1176" t="s">
        <v>4101</v>
      </c>
      <c r="AJ1176" t="s">
        <v>4102</v>
      </c>
      <c r="AK1176" t="s">
        <v>4103</v>
      </c>
      <c r="AL1176" t="s">
        <v>4104</v>
      </c>
      <c r="AS1176" t="s">
        <v>239</v>
      </c>
      <c r="AX1176" s="6">
        <v>86.13</v>
      </c>
      <c r="AY1176" s="6" t="s">
        <v>4105</v>
      </c>
      <c r="AZ1176" s="6">
        <v>204.1</v>
      </c>
      <c r="BA1176" s="6"/>
      <c r="BB1176" s="6" t="s">
        <v>168</v>
      </c>
      <c r="BC1176" s="6"/>
    </row>
    <row r="1177" spans="32:55">
      <c r="AF1177">
        <f t="shared" si="60"/>
        <v>0</v>
      </c>
      <c r="AG1177" t="str">
        <f t="shared" si="61"/>
        <v/>
      </c>
      <c r="AH1177" t="s">
        <v>4106</v>
      </c>
      <c r="AI1177" t="s">
        <v>4107</v>
      </c>
      <c r="AJ1177" t="s">
        <v>4108</v>
      </c>
      <c r="AL1177" t="s">
        <v>4109</v>
      </c>
      <c r="AS1177" t="s">
        <v>220</v>
      </c>
      <c r="AX1177" s="6">
        <v>86.13</v>
      </c>
      <c r="AY1177" s="6" t="s">
        <v>168</v>
      </c>
      <c r="AZ1177" s="6" t="s">
        <v>168</v>
      </c>
      <c r="BA1177" s="6"/>
      <c r="BB1177" s="6" t="s">
        <v>168</v>
      </c>
      <c r="BC1177" s="6"/>
    </row>
    <row r="1178" spans="32:55">
      <c r="AF1178">
        <f t="shared" si="60"/>
        <v>0</v>
      </c>
      <c r="AG1178" t="str">
        <f t="shared" si="61"/>
        <v/>
      </c>
      <c r="AH1178" t="s">
        <v>4110</v>
      </c>
      <c r="AI1178" t="s">
        <v>4111</v>
      </c>
      <c r="AJ1178" t="s">
        <v>4112</v>
      </c>
      <c r="AL1178" t="s">
        <v>4113</v>
      </c>
      <c r="AS1178" t="s">
        <v>220</v>
      </c>
      <c r="AX1178" s="6">
        <v>86.13</v>
      </c>
      <c r="AY1178" s="6" t="s">
        <v>168</v>
      </c>
      <c r="AZ1178" s="6" t="s">
        <v>168</v>
      </c>
      <c r="BA1178" s="6"/>
      <c r="BB1178" s="6" t="s">
        <v>168</v>
      </c>
      <c r="BC1178" s="6"/>
    </row>
    <row r="1179" spans="32:55">
      <c r="AF1179">
        <f t="shared" si="60"/>
        <v>0</v>
      </c>
      <c r="AG1179" t="str">
        <f t="shared" si="61"/>
        <v/>
      </c>
      <c r="AH1179" t="s">
        <v>4114</v>
      </c>
      <c r="AI1179" t="s">
        <v>4115</v>
      </c>
      <c r="AJ1179" t="s">
        <v>4116</v>
      </c>
      <c r="AL1179" t="s">
        <v>4117</v>
      </c>
      <c r="AS1179" t="s">
        <v>220</v>
      </c>
      <c r="AX1179" s="6">
        <v>86.13</v>
      </c>
      <c r="AY1179" s="6" t="s">
        <v>168</v>
      </c>
      <c r="AZ1179" s="6" t="s">
        <v>168</v>
      </c>
      <c r="BA1179" s="6"/>
      <c r="BB1179" s="6" t="s">
        <v>168</v>
      </c>
      <c r="BC1179" s="6"/>
    </row>
    <row r="1180" spans="32:55">
      <c r="AF1180">
        <f t="shared" si="60"/>
        <v>0</v>
      </c>
      <c r="AG1180" t="str">
        <f t="shared" si="61"/>
        <v/>
      </c>
      <c r="AH1180" t="s">
        <v>4118</v>
      </c>
      <c r="AI1180" t="s">
        <v>4119</v>
      </c>
      <c r="AJ1180" t="s">
        <v>4119</v>
      </c>
      <c r="AK1180" t="s">
        <v>4120</v>
      </c>
      <c r="AL1180" t="s">
        <v>4121</v>
      </c>
      <c r="AS1180" t="s">
        <v>220</v>
      </c>
      <c r="AX1180" s="6">
        <v>90.08</v>
      </c>
      <c r="AY1180" s="6" t="s">
        <v>168</v>
      </c>
      <c r="AZ1180" s="6" t="s">
        <v>168</v>
      </c>
      <c r="BA1180" s="6"/>
      <c r="BB1180" s="6" t="s">
        <v>168</v>
      </c>
      <c r="BC1180" s="6"/>
    </row>
    <row r="1181" spans="32:55">
      <c r="AF1181">
        <f t="shared" si="60"/>
        <v>0</v>
      </c>
      <c r="AG1181" t="str">
        <f t="shared" si="61"/>
        <v>C₆H₅CHO (l)</v>
      </c>
      <c r="AH1181" t="s">
        <v>4122</v>
      </c>
      <c r="AI1181" t="s">
        <v>4123</v>
      </c>
      <c r="AJ1181" t="s">
        <v>4123</v>
      </c>
      <c r="AL1181" t="s">
        <v>4124</v>
      </c>
      <c r="AS1181" t="s">
        <v>239</v>
      </c>
      <c r="AX1181" s="6">
        <v>106.12</v>
      </c>
      <c r="AY1181" s="6" t="s">
        <v>4125</v>
      </c>
      <c r="AZ1181" s="6" t="s">
        <v>168</v>
      </c>
      <c r="BA1181" s="6"/>
      <c r="BB1181" s="6">
        <v>9.42</v>
      </c>
    </row>
    <row r="1182" spans="32:55">
      <c r="AF1182">
        <f t="shared" si="60"/>
        <v>0</v>
      </c>
      <c r="AG1182" t="str">
        <f t="shared" si="61"/>
        <v>C₆H₅CHO (g)</v>
      </c>
      <c r="AH1182" t="s">
        <v>4122</v>
      </c>
      <c r="AI1182" t="s">
        <v>4123</v>
      </c>
      <c r="AJ1182" t="s">
        <v>4123</v>
      </c>
      <c r="AL1182" t="s">
        <v>4124</v>
      </c>
      <c r="AS1182" t="s">
        <v>47</v>
      </c>
      <c r="AX1182" s="6">
        <v>106.12</v>
      </c>
      <c r="AY1182" s="6" t="s">
        <v>4126</v>
      </c>
      <c r="AZ1182" s="6" t="s">
        <v>168</v>
      </c>
      <c r="BA1182" s="6"/>
      <c r="BB1182" s="6">
        <v>24.5</v>
      </c>
    </row>
    <row r="1183" spans="32:55">
      <c r="AF1183">
        <f t="shared" si="60"/>
        <v>0</v>
      </c>
      <c r="AG1183" t="str">
        <f t="shared" si="61"/>
        <v/>
      </c>
      <c r="AH1183" t="s">
        <v>4127</v>
      </c>
      <c r="AI1183" t="s">
        <v>4128</v>
      </c>
      <c r="AJ1183" t="s">
        <v>4128</v>
      </c>
      <c r="AL1183" t="s">
        <v>4129</v>
      </c>
      <c r="AS1183" t="s">
        <v>220</v>
      </c>
      <c r="AX1183" s="6">
        <v>132.16</v>
      </c>
      <c r="AY1183" s="6" t="s">
        <v>168</v>
      </c>
      <c r="AZ1183" s="6" t="s">
        <v>168</v>
      </c>
      <c r="BA1183" s="6"/>
      <c r="BB1183" s="6" t="s">
        <v>168</v>
      </c>
      <c r="BC1183" s="6"/>
    </row>
    <row r="1184" spans="32:55">
      <c r="AF1184">
        <f t="shared" si="60"/>
        <v>0</v>
      </c>
      <c r="AG1184" t="str">
        <f t="shared" si="61"/>
        <v>CH₃OC₆H₄CHO (l)</v>
      </c>
      <c r="AH1184" t="s">
        <v>4130</v>
      </c>
      <c r="AI1184" t="s">
        <v>4131</v>
      </c>
      <c r="AJ1184" t="s">
        <v>4131</v>
      </c>
      <c r="AL1184" t="s">
        <v>4132</v>
      </c>
      <c r="AS1184" t="s">
        <v>239</v>
      </c>
      <c r="AX1184" s="6">
        <v>136.15</v>
      </c>
      <c r="AY1184" s="6" t="s">
        <v>4133</v>
      </c>
      <c r="AZ1184" s="6" t="s">
        <v>168</v>
      </c>
      <c r="BA1184" s="6"/>
      <c r="BB1184" s="6" t="s">
        <v>168</v>
      </c>
      <c r="BC1184" s="6"/>
    </row>
    <row r="1185" spans="32:55">
      <c r="AF1185">
        <f t="shared" si="60"/>
        <v>0</v>
      </c>
      <c r="AG1185" t="str">
        <f t="shared" si="61"/>
        <v/>
      </c>
      <c r="AH1185" t="s">
        <v>4134</v>
      </c>
      <c r="AI1185" t="s">
        <v>4135</v>
      </c>
      <c r="AJ1185" t="s">
        <v>4136</v>
      </c>
      <c r="AL1185" t="s">
        <v>4137</v>
      </c>
      <c r="AS1185" t="s">
        <v>220</v>
      </c>
      <c r="AX1185" s="6">
        <v>152.15</v>
      </c>
      <c r="AY1185" s="6" t="s">
        <v>168</v>
      </c>
      <c r="AZ1185" s="6" t="s">
        <v>168</v>
      </c>
      <c r="BA1185" s="6"/>
      <c r="BB1185" s="6" t="s">
        <v>168</v>
      </c>
      <c r="BC1185" s="6"/>
    </row>
    <row r="1186" spans="32:55">
      <c r="AF1186">
        <f t="shared" si="60"/>
        <v>0</v>
      </c>
      <c r="AG1186" t="str">
        <f t="shared" si="61"/>
        <v/>
      </c>
      <c r="AH1186" t="s">
        <v>4138</v>
      </c>
      <c r="AI1186" t="s">
        <v>4139</v>
      </c>
      <c r="AJ1186" t="s">
        <v>4140</v>
      </c>
      <c r="AL1186" t="s">
        <v>4141</v>
      </c>
      <c r="AS1186" t="s">
        <v>220</v>
      </c>
      <c r="AX1186" s="6">
        <v>152.25</v>
      </c>
      <c r="AY1186" s="6" t="s">
        <v>168</v>
      </c>
      <c r="AZ1186" s="6" t="s">
        <v>168</v>
      </c>
      <c r="BA1186" s="6"/>
      <c r="BB1186" s="6" t="s">
        <v>168</v>
      </c>
      <c r="BC1186" s="6"/>
    </row>
    <row r="1187" spans="32:55">
      <c r="AF1187">
        <f t="shared" si="60"/>
        <v>0</v>
      </c>
      <c r="AG1187" t="str">
        <f t="shared" si="61"/>
        <v/>
      </c>
      <c r="AH1187" t="s">
        <v>4142</v>
      </c>
      <c r="AI1187" t="s">
        <v>4143</v>
      </c>
      <c r="AJ1187" t="s">
        <v>4143</v>
      </c>
      <c r="AL1187" t="s">
        <v>4144</v>
      </c>
      <c r="AS1187" t="s">
        <v>220</v>
      </c>
      <c r="AX1187" s="6">
        <v>284.44</v>
      </c>
      <c r="AY1187" s="6" t="s">
        <v>168</v>
      </c>
      <c r="AZ1187" s="6" t="s">
        <v>168</v>
      </c>
      <c r="BA1187" s="6"/>
      <c r="BB1187" s="6" t="s">
        <v>168</v>
      </c>
      <c r="BC1187" s="6"/>
    </row>
    <row r="1188" spans="32:55">
      <c r="AF1188">
        <f t="shared" si="60"/>
        <v>0</v>
      </c>
      <c r="AG1188" t="str">
        <f t="shared" si="61"/>
        <v>CH₂=C=O (g)</v>
      </c>
      <c r="AH1188" t="s">
        <v>4145</v>
      </c>
      <c r="AI1188" t="s">
        <v>4146</v>
      </c>
      <c r="AJ1188" t="s">
        <v>4146</v>
      </c>
      <c r="AL1188" t="s">
        <v>4147</v>
      </c>
      <c r="AS1188" t="s">
        <v>47</v>
      </c>
      <c r="AX1188" s="6">
        <v>42.04</v>
      </c>
      <c r="AY1188" s="6" t="s">
        <v>3569</v>
      </c>
      <c r="AZ1188" s="6">
        <v>247.6</v>
      </c>
      <c r="BA1188" s="6"/>
      <c r="BB1188" s="6">
        <v>-48.3</v>
      </c>
    </row>
    <row r="1189" spans="32:55">
      <c r="AF1189">
        <f t="shared" si="60"/>
        <v>0</v>
      </c>
      <c r="AG1189" t="str">
        <f t="shared" si="61"/>
        <v>(CH₃)₂CO (l)</v>
      </c>
      <c r="AH1189" t="s">
        <v>4148</v>
      </c>
      <c r="AI1189" t="s">
        <v>4149</v>
      </c>
      <c r="AJ1189" t="s">
        <v>4150</v>
      </c>
      <c r="AL1189" t="s">
        <v>4151</v>
      </c>
      <c r="AS1189" t="s">
        <v>239</v>
      </c>
      <c r="AX1189" s="6">
        <v>58.08</v>
      </c>
      <c r="AY1189" s="6" t="s">
        <v>4152</v>
      </c>
      <c r="AZ1189" s="6">
        <v>199.8</v>
      </c>
      <c r="BA1189" s="6"/>
      <c r="BB1189" s="6">
        <v>-155.72999999999999</v>
      </c>
    </row>
    <row r="1190" spans="32:55">
      <c r="AF1190">
        <f t="shared" si="60"/>
        <v>0</v>
      </c>
      <c r="AG1190" t="str">
        <f t="shared" si="61"/>
        <v>(CH₃)₂CO (g)</v>
      </c>
      <c r="AH1190" t="s">
        <v>4148</v>
      </c>
      <c r="AI1190" t="s">
        <v>4149</v>
      </c>
      <c r="AJ1190" t="s">
        <v>4150</v>
      </c>
      <c r="AL1190" t="s">
        <v>4151</v>
      </c>
      <c r="AS1190" t="s">
        <v>47</v>
      </c>
      <c r="AX1190" s="6">
        <v>58.08</v>
      </c>
      <c r="AY1190" s="6" t="s">
        <v>4153</v>
      </c>
      <c r="AZ1190" s="6">
        <v>295.3</v>
      </c>
      <c r="BA1190" s="6"/>
      <c r="BB1190" s="6">
        <v>-152.69999999999999</v>
      </c>
    </row>
    <row r="1191" spans="32:55">
      <c r="AF1191">
        <f t="shared" si="60"/>
        <v>0</v>
      </c>
      <c r="AG1191" t="str">
        <f t="shared" si="61"/>
        <v>CH₃CH₂COCH₃ (l)</v>
      </c>
      <c r="AH1191" t="s">
        <v>4154</v>
      </c>
      <c r="AI1191" t="s">
        <v>4155</v>
      </c>
      <c r="AJ1191" t="s">
        <v>4155</v>
      </c>
      <c r="AL1191" t="s">
        <v>4156</v>
      </c>
      <c r="AS1191" t="s">
        <v>239</v>
      </c>
      <c r="AX1191" s="6">
        <v>72.11</v>
      </c>
      <c r="AY1191" s="6" t="s">
        <v>1138</v>
      </c>
      <c r="AZ1191" s="6">
        <v>238.1</v>
      </c>
      <c r="BA1191" s="6"/>
      <c r="BB1191" s="6">
        <v>-151.32</v>
      </c>
    </row>
    <row r="1192" spans="32:55">
      <c r="AF1192">
        <f t="shared" si="60"/>
        <v>0</v>
      </c>
      <c r="AG1192" t="str">
        <f t="shared" si="61"/>
        <v>CH₃CH₂COCH₃ (g)</v>
      </c>
      <c r="AH1192" t="s">
        <v>4154</v>
      </c>
      <c r="AI1192" t="s">
        <v>4155</v>
      </c>
      <c r="AJ1192" t="s">
        <v>4155</v>
      </c>
      <c r="AL1192" t="s">
        <v>4156</v>
      </c>
      <c r="AS1192" t="s">
        <v>47</v>
      </c>
      <c r="AX1192" s="6">
        <v>72.11</v>
      </c>
      <c r="AY1192" s="6" t="s">
        <v>3719</v>
      </c>
      <c r="AZ1192" s="6">
        <v>339.9</v>
      </c>
      <c r="BA1192" s="6"/>
      <c r="BB1192" s="6">
        <v>-146.03</v>
      </c>
    </row>
    <row r="1193" spans="32:55">
      <c r="AF1193">
        <f t="shared" si="60"/>
        <v>0</v>
      </c>
      <c r="AG1193" t="str">
        <f t="shared" si="61"/>
        <v>CH3COCOCH3 (l)</v>
      </c>
      <c r="AH1193" t="s">
        <v>4157</v>
      </c>
      <c r="AI1193" t="s">
        <v>4157</v>
      </c>
      <c r="AJ1193" t="s">
        <v>4157</v>
      </c>
      <c r="AK1193" t="s">
        <v>4158</v>
      </c>
      <c r="AL1193" t="s">
        <v>4159</v>
      </c>
      <c r="AS1193" t="s">
        <v>239</v>
      </c>
      <c r="AX1193" s="6">
        <v>86.09</v>
      </c>
      <c r="AY1193" s="6" t="s">
        <v>4160</v>
      </c>
      <c r="AZ1193" s="6" t="s">
        <v>168</v>
      </c>
      <c r="BA1193" s="6"/>
      <c r="BB1193" s="6" t="s">
        <v>168</v>
      </c>
      <c r="BC1193" s="6"/>
    </row>
    <row r="1194" spans="32:55">
      <c r="AF1194">
        <f t="shared" si="60"/>
        <v>0</v>
      </c>
      <c r="AG1194" t="str">
        <f t="shared" si="61"/>
        <v>CH₃(CH₂)₂COCH₃ (l)</v>
      </c>
      <c r="AH1194" t="s">
        <v>4161</v>
      </c>
      <c r="AI1194" t="s">
        <v>4162</v>
      </c>
      <c r="AJ1194" t="s">
        <v>4163</v>
      </c>
      <c r="AL1194" t="s">
        <v>4164</v>
      </c>
      <c r="AS1194" t="s">
        <v>239</v>
      </c>
      <c r="AX1194" s="6">
        <v>86.13</v>
      </c>
      <c r="AY1194" s="6" t="s">
        <v>4165</v>
      </c>
      <c r="AZ1194" s="6" t="s">
        <v>168</v>
      </c>
      <c r="BA1194" s="6"/>
      <c r="BB1194" s="6" t="s">
        <v>168</v>
      </c>
      <c r="BC1194" s="6"/>
    </row>
    <row r="1195" spans="32:55">
      <c r="AF1195">
        <f t="shared" si="60"/>
        <v>0</v>
      </c>
      <c r="AG1195" t="str">
        <f t="shared" si="61"/>
        <v>(CH₃CH₂)₂CO (l)</v>
      </c>
      <c r="AH1195" t="s">
        <v>4166</v>
      </c>
      <c r="AI1195" t="s">
        <v>4167</v>
      </c>
      <c r="AJ1195" t="s">
        <v>4168</v>
      </c>
      <c r="AL1195" t="s">
        <v>4169</v>
      </c>
      <c r="AS1195" t="s">
        <v>239</v>
      </c>
      <c r="AX1195" s="6">
        <v>86.13</v>
      </c>
      <c r="AY1195" s="6" t="s">
        <v>4170</v>
      </c>
      <c r="AZ1195" s="6">
        <v>266</v>
      </c>
      <c r="BA1195" s="6"/>
      <c r="BB1195" s="6" t="s">
        <v>168</v>
      </c>
      <c r="BC1195" s="6"/>
    </row>
    <row r="1196" spans="32:55">
      <c r="AF1196">
        <f t="shared" si="60"/>
        <v>0</v>
      </c>
      <c r="AG1196" t="str">
        <f t="shared" si="61"/>
        <v>(CH₃)₂CHCOCH₃ (l)</v>
      </c>
      <c r="AH1196" t="s">
        <v>4171</v>
      </c>
      <c r="AI1196" t="s">
        <v>4172</v>
      </c>
      <c r="AJ1196" t="s">
        <v>4173</v>
      </c>
      <c r="AL1196" t="s">
        <v>4174</v>
      </c>
      <c r="AS1196" t="s">
        <v>239</v>
      </c>
      <c r="AX1196" s="6">
        <v>86.13</v>
      </c>
      <c r="AY1196" s="6" t="s">
        <v>4175</v>
      </c>
      <c r="AZ1196" s="6">
        <v>268.5</v>
      </c>
      <c r="BA1196" s="6"/>
      <c r="BB1196" s="6" t="s">
        <v>168</v>
      </c>
      <c r="BC1196" s="6"/>
    </row>
    <row r="1197" spans="32:55">
      <c r="AF1197">
        <f t="shared" si="60"/>
        <v>0</v>
      </c>
      <c r="AG1197" t="str">
        <f t="shared" si="61"/>
        <v>C₆H₁₀O (l)</v>
      </c>
      <c r="AH1197" t="s">
        <v>4176</v>
      </c>
      <c r="AI1197" t="s">
        <v>4177</v>
      </c>
      <c r="AJ1197" t="s">
        <v>4177</v>
      </c>
      <c r="AL1197" t="s">
        <v>4178</v>
      </c>
      <c r="AS1197" t="s">
        <v>239</v>
      </c>
      <c r="AX1197" s="6">
        <v>98.15</v>
      </c>
      <c r="AY1197" s="6" t="s">
        <v>4179</v>
      </c>
      <c r="AZ1197" s="6" t="s">
        <v>168</v>
      </c>
      <c r="BA1197" s="6"/>
      <c r="BB1197" s="6" t="s">
        <v>168</v>
      </c>
      <c r="BC1197" s="6"/>
    </row>
    <row r="1198" spans="32:55">
      <c r="AF1198">
        <f t="shared" si="60"/>
        <v>0</v>
      </c>
      <c r="AG1198" t="str">
        <f t="shared" si="61"/>
        <v/>
      </c>
      <c r="AH1198" t="s">
        <v>4180</v>
      </c>
      <c r="AI1198" t="s">
        <v>4181</v>
      </c>
      <c r="AJ1198" t="s">
        <v>4181</v>
      </c>
      <c r="AL1198" t="s">
        <v>4182</v>
      </c>
      <c r="AS1198" t="s">
        <v>220</v>
      </c>
      <c r="AX1198" s="6">
        <v>100.11</v>
      </c>
      <c r="AY1198" s="6" t="s">
        <v>168</v>
      </c>
      <c r="AZ1198" s="6" t="s">
        <v>168</v>
      </c>
      <c r="BA1198" s="6"/>
      <c r="BB1198" s="6" t="s">
        <v>168</v>
      </c>
      <c r="BC1198" s="6"/>
    </row>
    <row r="1199" spans="32:55">
      <c r="AF1199">
        <f t="shared" si="60"/>
        <v>0</v>
      </c>
      <c r="AG1199" t="str">
        <f t="shared" si="61"/>
        <v>CH₃COCH₂COCH₃ (l)</v>
      </c>
      <c r="AH1199" t="s">
        <v>4183</v>
      </c>
      <c r="AI1199" t="s">
        <v>4184</v>
      </c>
      <c r="AJ1199" t="s">
        <v>4184</v>
      </c>
      <c r="AL1199" t="s">
        <v>4185</v>
      </c>
      <c r="AS1199" t="s">
        <v>239</v>
      </c>
      <c r="AX1199" s="6">
        <v>100.11</v>
      </c>
      <c r="AY1199" s="6" t="s">
        <v>168</v>
      </c>
      <c r="AZ1199" s="6" t="s">
        <v>168</v>
      </c>
      <c r="BA1199" s="6"/>
      <c r="BB1199" s="6" t="s">
        <v>168</v>
      </c>
      <c r="BC1199" s="6"/>
    </row>
    <row r="1200" spans="32:55">
      <c r="AF1200">
        <f t="shared" si="60"/>
        <v>0</v>
      </c>
      <c r="AG1200" t="str">
        <f t="shared" si="61"/>
        <v>CH₃(CH₂)₄COCH₃ (l)</v>
      </c>
      <c r="AH1200" t="s">
        <v>4186</v>
      </c>
      <c r="AI1200" t="s">
        <v>4187</v>
      </c>
      <c r="AJ1200" t="s">
        <v>4188</v>
      </c>
      <c r="AL1200" t="s">
        <v>4189</v>
      </c>
      <c r="AS1200" t="s">
        <v>239</v>
      </c>
      <c r="AX1200" s="6">
        <v>114.19</v>
      </c>
      <c r="AY1200" s="6" t="s">
        <v>168</v>
      </c>
      <c r="AZ1200" s="6" t="s">
        <v>168</v>
      </c>
      <c r="BA1200" s="6"/>
      <c r="BB1200" s="6" t="s">
        <v>168</v>
      </c>
      <c r="BC1200" s="6"/>
    </row>
    <row r="1201" spans="32:55">
      <c r="AF1201">
        <f t="shared" si="60"/>
        <v>0</v>
      </c>
      <c r="AG1201" t="str">
        <f t="shared" si="61"/>
        <v>C₆H₅COCH₃ (l)</v>
      </c>
      <c r="AH1201" t="s">
        <v>4190</v>
      </c>
      <c r="AI1201" t="s">
        <v>4191</v>
      </c>
      <c r="AJ1201" t="s">
        <v>4191</v>
      </c>
      <c r="AK1201" t="s">
        <v>4192</v>
      </c>
      <c r="AL1201" t="s">
        <v>4193</v>
      </c>
      <c r="AS1201" t="s">
        <v>239</v>
      </c>
      <c r="AX1201" s="6">
        <v>120.15</v>
      </c>
      <c r="AY1201" s="6" t="s">
        <v>4194</v>
      </c>
      <c r="AZ1201" s="6">
        <v>249.5</v>
      </c>
      <c r="BA1201" s="6"/>
      <c r="BB1201" s="6">
        <v>-16.989999999999998</v>
      </c>
    </row>
    <row r="1202" spans="32:55">
      <c r="AF1202">
        <f t="shared" si="60"/>
        <v>0</v>
      </c>
      <c r="AG1202" t="str">
        <f t="shared" si="61"/>
        <v>C₆H₅COCH₃ (g)</v>
      </c>
      <c r="AH1202" t="s">
        <v>4190</v>
      </c>
      <c r="AI1202" t="s">
        <v>4191</v>
      </c>
      <c r="AJ1202" t="s">
        <v>4191</v>
      </c>
      <c r="AL1202" t="s">
        <v>4193</v>
      </c>
      <c r="AS1202" t="s">
        <v>47</v>
      </c>
      <c r="AX1202" s="6">
        <v>120.15</v>
      </c>
      <c r="AY1202" s="6" t="s">
        <v>4195</v>
      </c>
      <c r="AZ1202" s="6">
        <v>372.9</v>
      </c>
      <c r="BA1202" s="6"/>
      <c r="BB1202" s="6">
        <v>1.84</v>
      </c>
    </row>
    <row r="1203" spans="32:55">
      <c r="AF1203">
        <f t="shared" si="60"/>
        <v>0</v>
      </c>
      <c r="AG1203" t="str">
        <f t="shared" si="61"/>
        <v/>
      </c>
      <c r="AH1203" t="s">
        <v>4196</v>
      </c>
      <c r="AI1203" t="s">
        <v>4197</v>
      </c>
      <c r="AJ1203" t="s">
        <v>4197</v>
      </c>
      <c r="AL1203" t="s">
        <v>4198</v>
      </c>
      <c r="AS1203" t="s">
        <v>220</v>
      </c>
      <c r="AX1203" s="6">
        <v>121.13</v>
      </c>
      <c r="AY1203" s="6" t="s">
        <v>168</v>
      </c>
      <c r="AZ1203" s="6" t="s">
        <v>168</v>
      </c>
      <c r="BA1203" s="6"/>
      <c r="BB1203" s="6" t="s">
        <v>168</v>
      </c>
      <c r="BC1203" s="6"/>
    </row>
    <row r="1204" spans="32:55">
      <c r="AF1204">
        <f t="shared" si="60"/>
        <v>0</v>
      </c>
      <c r="AG1204" t="str">
        <f t="shared" si="61"/>
        <v/>
      </c>
      <c r="AH1204" t="s">
        <v>4199</v>
      </c>
      <c r="AI1204" t="s">
        <v>4200</v>
      </c>
      <c r="AJ1204" t="s">
        <v>4200</v>
      </c>
      <c r="AL1204" t="s">
        <v>4201</v>
      </c>
      <c r="AS1204" t="s">
        <v>220</v>
      </c>
      <c r="AX1204" s="6">
        <v>150.22</v>
      </c>
      <c r="AY1204" s="6" t="s">
        <v>168</v>
      </c>
      <c r="AZ1204" s="6" t="s">
        <v>168</v>
      </c>
      <c r="BA1204" s="6"/>
      <c r="BB1204" s="6" t="s">
        <v>168</v>
      </c>
      <c r="BC1204" s="6"/>
    </row>
    <row r="1205" spans="32:55">
      <c r="AF1205">
        <f t="shared" si="60"/>
        <v>0</v>
      </c>
      <c r="AG1205" t="str">
        <f t="shared" si="61"/>
        <v/>
      </c>
      <c r="AH1205" t="s">
        <v>4202</v>
      </c>
      <c r="AI1205" t="s">
        <v>4203</v>
      </c>
      <c r="AJ1205" t="s">
        <v>4203</v>
      </c>
      <c r="AL1205" t="s">
        <v>4204</v>
      </c>
      <c r="AS1205" t="s">
        <v>220</v>
      </c>
      <c r="AX1205" s="6">
        <v>152.24</v>
      </c>
      <c r="AY1205" s="6" t="s">
        <v>168</v>
      </c>
      <c r="AZ1205" s="6" t="s">
        <v>168</v>
      </c>
      <c r="BA1205" s="6"/>
      <c r="BB1205" s="6" t="s">
        <v>168</v>
      </c>
      <c r="BC1205" s="6"/>
    </row>
    <row r="1206" spans="32:55">
      <c r="AF1206">
        <f t="shared" si="60"/>
        <v>0</v>
      </c>
      <c r="AG1206" t="str">
        <f t="shared" si="61"/>
        <v>C₁₀H₁₆O (s)</v>
      </c>
      <c r="AH1206" t="s">
        <v>4202</v>
      </c>
      <c r="AI1206" t="s">
        <v>4203</v>
      </c>
      <c r="AJ1206" t="s">
        <v>4203</v>
      </c>
      <c r="AL1206" t="s">
        <v>4205</v>
      </c>
      <c r="AS1206" t="s">
        <v>160</v>
      </c>
      <c r="AX1206" s="6">
        <v>152.24</v>
      </c>
      <c r="AY1206" s="6" t="s">
        <v>168</v>
      </c>
      <c r="AZ1206" s="6" t="s">
        <v>168</v>
      </c>
      <c r="BA1206" s="6"/>
      <c r="BB1206" s="6" t="s">
        <v>168</v>
      </c>
      <c r="BC1206" s="6"/>
    </row>
    <row r="1207" spans="32:55">
      <c r="AF1207" t="str">
        <f t="shared" si="60"/>
        <v>1</v>
      </c>
      <c r="AG1207" t="str">
        <f t="shared" si="61"/>
        <v>C₅H₄N₄O₃ (s)</v>
      </c>
      <c r="AH1207" t="s">
        <v>3672</v>
      </c>
      <c r="AI1207" t="s">
        <v>3673</v>
      </c>
      <c r="AJ1207" t="s">
        <v>3673</v>
      </c>
      <c r="AL1207" t="s">
        <v>3674</v>
      </c>
      <c r="AS1207" t="s">
        <v>160</v>
      </c>
      <c r="AX1207" s="6">
        <v>168.11</v>
      </c>
      <c r="AY1207" s="6" t="s">
        <v>3675</v>
      </c>
      <c r="AZ1207" s="6">
        <v>173.2</v>
      </c>
      <c r="BA1207" s="6"/>
      <c r="BB1207" s="6">
        <v>-358.73</v>
      </c>
    </row>
    <row r="1208" spans="32:55">
      <c r="AF1208">
        <f t="shared" si="60"/>
        <v>0</v>
      </c>
      <c r="AG1208" t="str">
        <f t="shared" si="61"/>
        <v>C₆H₈O₆ (s)</v>
      </c>
      <c r="AH1208" t="s">
        <v>4206</v>
      </c>
      <c r="AI1208" t="s">
        <v>4207</v>
      </c>
      <c r="AJ1208" t="s">
        <v>4207</v>
      </c>
      <c r="AL1208" t="s">
        <v>4208</v>
      </c>
      <c r="AS1208" t="s">
        <v>160</v>
      </c>
      <c r="AX1208" s="6">
        <v>176.12</v>
      </c>
      <c r="AY1208" s="6" t="s">
        <v>4209</v>
      </c>
      <c r="AZ1208" s="6" t="s">
        <v>168</v>
      </c>
      <c r="BA1208" s="6"/>
      <c r="BB1208" s="6" t="s">
        <v>168</v>
      </c>
      <c r="BC1208" s="6"/>
    </row>
    <row r="1209" spans="32:55">
      <c r="AF1209">
        <f t="shared" si="60"/>
        <v>0</v>
      </c>
      <c r="AG1209" t="str">
        <f t="shared" si="61"/>
        <v/>
      </c>
      <c r="AH1209" t="s">
        <v>4210</v>
      </c>
      <c r="AI1209" t="s">
        <v>4211</v>
      </c>
      <c r="AJ1209" t="s">
        <v>4211</v>
      </c>
      <c r="AL1209" t="s">
        <v>4212</v>
      </c>
      <c r="AS1209" t="s">
        <v>220</v>
      </c>
      <c r="AX1209" s="6">
        <v>178.14</v>
      </c>
      <c r="AY1209" s="6" t="s">
        <v>168</v>
      </c>
      <c r="AZ1209" s="6" t="s">
        <v>168</v>
      </c>
      <c r="BA1209" s="6"/>
      <c r="BB1209" s="6" t="s">
        <v>168</v>
      </c>
      <c r="BC1209" s="6"/>
    </row>
    <row r="1210" spans="32:55">
      <c r="AF1210">
        <f t="shared" si="60"/>
        <v>0</v>
      </c>
      <c r="AG1210" t="str">
        <f t="shared" si="61"/>
        <v>C₆H₅COC₆H₅ (s)</v>
      </c>
      <c r="AH1210" t="s">
        <v>4213</v>
      </c>
      <c r="AI1210" t="s">
        <v>4214</v>
      </c>
      <c r="AJ1210" t="s">
        <v>4214</v>
      </c>
      <c r="AL1210" t="s">
        <v>4215</v>
      </c>
      <c r="AS1210" t="s">
        <v>160</v>
      </c>
      <c r="AX1210" s="6">
        <v>182.22</v>
      </c>
      <c r="AY1210" s="6" t="s">
        <v>4216</v>
      </c>
      <c r="AZ1210" s="6">
        <v>245.18</v>
      </c>
      <c r="BA1210" s="6"/>
      <c r="BB1210" s="6">
        <v>140.16</v>
      </c>
    </row>
    <row r="1211" spans="32:55">
      <c r="AF1211">
        <f t="shared" si="60"/>
        <v>0</v>
      </c>
      <c r="AG1211" t="str">
        <f t="shared" si="61"/>
        <v/>
      </c>
      <c r="AH1211" t="s">
        <v>4217</v>
      </c>
      <c r="AI1211" t="s">
        <v>4218</v>
      </c>
      <c r="AJ1211" t="s">
        <v>4218</v>
      </c>
      <c r="AL1211" t="s">
        <v>4219</v>
      </c>
      <c r="AS1211" t="s">
        <v>220</v>
      </c>
      <c r="AX1211" s="6">
        <v>192.3</v>
      </c>
      <c r="AY1211" s="6" t="s">
        <v>168</v>
      </c>
      <c r="AZ1211" s="6" t="s">
        <v>168</v>
      </c>
      <c r="BA1211" s="6"/>
      <c r="BB1211" s="6" t="s">
        <v>168</v>
      </c>
      <c r="BC1211" s="6"/>
    </row>
    <row r="1212" spans="32:55">
      <c r="AF1212">
        <f t="shared" si="60"/>
        <v>0</v>
      </c>
      <c r="AG1212" t="str">
        <f t="shared" si="61"/>
        <v/>
      </c>
      <c r="AH1212" t="s">
        <v>4220</v>
      </c>
      <c r="AI1212" t="s">
        <v>4221</v>
      </c>
      <c r="AJ1212" t="s">
        <v>4221</v>
      </c>
      <c r="AL1212" t="s">
        <v>4222</v>
      </c>
      <c r="AS1212" t="s">
        <v>220</v>
      </c>
      <c r="AX1212" s="6">
        <v>285.33999999999997</v>
      </c>
      <c r="AY1212" s="6" t="s">
        <v>168</v>
      </c>
      <c r="AZ1212" s="6" t="s">
        <v>168</v>
      </c>
      <c r="BA1212" s="6"/>
      <c r="BB1212" s="6" t="s">
        <v>168</v>
      </c>
      <c r="BC1212" s="6"/>
    </row>
    <row r="1213" spans="32:55">
      <c r="AF1213">
        <f t="shared" si="60"/>
        <v>0</v>
      </c>
      <c r="AG1213" t="str">
        <f t="shared" si="61"/>
        <v/>
      </c>
      <c r="AH1213" t="s">
        <v>4223</v>
      </c>
      <c r="AI1213" t="s">
        <v>4224</v>
      </c>
      <c r="AJ1213" t="s">
        <v>4224</v>
      </c>
      <c r="AL1213" t="s">
        <v>4225</v>
      </c>
      <c r="AS1213" t="s">
        <v>220</v>
      </c>
      <c r="AX1213" s="6">
        <v>288.42</v>
      </c>
      <c r="AY1213" s="6" t="s">
        <v>168</v>
      </c>
      <c r="AZ1213" s="6" t="s">
        <v>168</v>
      </c>
      <c r="BA1213" s="6"/>
      <c r="BB1213" s="6" t="s">
        <v>4226</v>
      </c>
      <c r="BC1213" s="6"/>
    </row>
    <row r="1214" spans="32:55">
      <c r="AF1214">
        <f t="shared" si="60"/>
        <v>0</v>
      </c>
      <c r="AG1214" t="str">
        <f t="shared" si="61"/>
        <v/>
      </c>
      <c r="AH1214" t="s">
        <v>4227</v>
      </c>
      <c r="AI1214" t="s">
        <v>4228</v>
      </c>
      <c r="AJ1214" t="s">
        <v>4228</v>
      </c>
      <c r="AL1214" t="s">
        <v>4229</v>
      </c>
      <c r="AS1214" t="s">
        <v>220</v>
      </c>
      <c r="AX1214" s="6">
        <v>305.41000000000003</v>
      </c>
      <c r="AY1214" s="6" t="s">
        <v>168</v>
      </c>
      <c r="AZ1214" s="6" t="s">
        <v>168</v>
      </c>
      <c r="BA1214" s="6"/>
      <c r="BB1214" s="6" t="s">
        <v>168</v>
      </c>
      <c r="BC1214" s="6"/>
    </row>
    <row r="1215" spans="32:55">
      <c r="AF1215">
        <f t="shared" si="60"/>
        <v>0</v>
      </c>
      <c r="AG1215" t="str">
        <f t="shared" si="61"/>
        <v/>
      </c>
      <c r="AH1215" t="s">
        <v>4230</v>
      </c>
      <c r="AI1215" t="s">
        <v>4231</v>
      </c>
      <c r="AJ1215" t="s">
        <v>4231</v>
      </c>
      <c r="AL1215" t="s">
        <v>4232</v>
      </c>
      <c r="AS1215" t="s">
        <v>220</v>
      </c>
      <c r="AX1215" s="6">
        <v>150.13</v>
      </c>
      <c r="AY1215" s="6" t="s">
        <v>168</v>
      </c>
      <c r="AZ1215" s="6" t="s">
        <v>168</v>
      </c>
      <c r="BA1215" s="6"/>
      <c r="BB1215" s="6" t="s">
        <v>168</v>
      </c>
      <c r="BC1215" s="6"/>
    </row>
    <row r="1216" spans="32:55">
      <c r="AF1216" t="str">
        <f t="shared" si="60"/>
        <v>1</v>
      </c>
      <c r="AG1216" t="str">
        <f t="shared" si="61"/>
        <v>C₅H₁₀O₅ (s)</v>
      </c>
      <c r="AH1216" t="s">
        <v>4230</v>
      </c>
      <c r="AI1216" t="s">
        <v>4231</v>
      </c>
      <c r="AJ1216" t="s">
        <v>4231</v>
      </c>
      <c r="AL1216" t="s">
        <v>4233</v>
      </c>
      <c r="AS1216" t="s">
        <v>160</v>
      </c>
      <c r="AX1216" s="6">
        <v>150.13</v>
      </c>
      <c r="AY1216" s="6" t="s">
        <v>4234</v>
      </c>
      <c r="AZ1216" s="6" t="s">
        <v>168</v>
      </c>
      <c r="BA1216" s="6"/>
      <c r="BB1216" s="6" t="s">
        <v>168</v>
      </c>
      <c r="BC1216" s="6"/>
    </row>
    <row r="1217" spans="32:55">
      <c r="AF1217">
        <f t="shared" si="60"/>
        <v>0</v>
      </c>
      <c r="AG1217" t="str">
        <f t="shared" si="61"/>
        <v/>
      </c>
      <c r="AH1217" t="s">
        <v>4230</v>
      </c>
      <c r="AI1217" t="s">
        <v>4231</v>
      </c>
      <c r="AJ1217" t="s">
        <v>4231</v>
      </c>
      <c r="AL1217" t="s">
        <v>4235</v>
      </c>
      <c r="AS1217" t="s">
        <v>220</v>
      </c>
      <c r="AX1217" s="6">
        <v>150.13</v>
      </c>
      <c r="AY1217" s="6" t="s">
        <v>168</v>
      </c>
      <c r="AZ1217" s="6" t="s">
        <v>168</v>
      </c>
      <c r="BA1217" s="6"/>
      <c r="BB1217" s="6" t="s">
        <v>168</v>
      </c>
      <c r="BC1217" s="6"/>
    </row>
    <row r="1218" spans="32:55">
      <c r="AF1218">
        <f t="shared" si="60"/>
        <v>0</v>
      </c>
      <c r="AG1218" t="str">
        <f t="shared" si="61"/>
        <v/>
      </c>
      <c r="AH1218" t="s">
        <v>4230</v>
      </c>
      <c r="AI1218" t="s">
        <v>4231</v>
      </c>
      <c r="AJ1218" t="s">
        <v>4231</v>
      </c>
      <c r="AL1218" t="s">
        <v>4236</v>
      </c>
      <c r="AS1218" t="s">
        <v>220</v>
      </c>
      <c r="AX1218" s="6">
        <v>150.13</v>
      </c>
      <c r="AY1218" s="6" t="s">
        <v>168</v>
      </c>
      <c r="AZ1218" s="6" t="s">
        <v>168</v>
      </c>
      <c r="BA1218" s="6"/>
      <c r="BB1218" s="6" t="s">
        <v>168</v>
      </c>
      <c r="BC1218" s="6"/>
    </row>
    <row r="1219" spans="32:55">
      <c r="AF1219" t="str">
        <f t="shared" ref="AF1219:AF1282" si="62">IF(OR(AG1219="",COUNTIF(AG:AG, AG1219) = 1),0, "1")</f>
        <v>1</v>
      </c>
      <c r="AG1219" t="str">
        <f t="shared" ref="AG1219:AG1282" si="63">IF(AS1219 &lt;&gt; "",AH1219&amp;" ("&amp;AS1219 &amp;")","")</f>
        <v>C₅H₁₀O₅ (s)</v>
      </c>
      <c r="AH1219" t="s">
        <v>4230</v>
      </c>
      <c r="AI1219" t="s">
        <v>4231</v>
      </c>
      <c r="AJ1219" t="s">
        <v>4231</v>
      </c>
      <c r="AL1219" t="s">
        <v>4237</v>
      </c>
      <c r="AS1219" t="s">
        <v>160</v>
      </c>
      <c r="AX1219" s="6">
        <v>150.13</v>
      </c>
      <c r="AY1219" s="6" t="s">
        <v>4234</v>
      </c>
      <c r="AZ1219" s="6" t="s">
        <v>168</v>
      </c>
      <c r="BA1219" s="6"/>
      <c r="BB1219" s="6" t="s">
        <v>168</v>
      </c>
      <c r="BC1219" s="6"/>
    </row>
    <row r="1220" spans="32:55">
      <c r="AF1220">
        <f t="shared" si="62"/>
        <v>0</v>
      </c>
      <c r="AG1220" t="str">
        <f t="shared" si="63"/>
        <v/>
      </c>
      <c r="AH1220" t="s">
        <v>4230</v>
      </c>
      <c r="AI1220" t="s">
        <v>4231</v>
      </c>
      <c r="AJ1220" t="s">
        <v>4231</v>
      </c>
      <c r="AL1220" t="s">
        <v>4238</v>
      </c>
      <c r="AS1220" t="s">
        <v>220</v>
      </c>
      <c r="AX1220" s="6">
        <v>150.13</v>
      </c>
      <c r="AY1220" s="6" t="s">
        <v>168</v>
      </c>
      <c r="AZ1220" s="6" t="s">
        <v>168</v>
      </c>
      <c r="BA1220" s="6"/>
      <c r="BB1220" s="6" t="s">
        <v>168</v>
      </c>
      <c r="BC1220" s="6"/>
    </row>
    <row r="1221" spans="32:55">
      <c r="AF1221">
        <f t="shared" si="62"/>
        <v>0</v>
      </c>
      <c r="AG1221" t="str">
        <f t="shared" si="63"/>
        <v/>
      </c>
      <c r="AH1221" t="s">
        <v>4230</v>
      </c>
      <c r="AI1221" t="s">
        <v>4231</v>
      </c>
      <c r="AJ1221" t="s">
        <v>4231</v>
      </c>
      <c r="AL1221" t="s">
        <v>4239</v>
      </c>
      <c r="AS1221" t="s">
        <v>220</v>
      </c>
      <c r="AX1221" s="6">
        <v>150.13</v>
      </c>
      <c r="AY1221" s="6" t="s">
        <v>168</v>
      </c>
      <c r="AZ1221" s="6" t="s">
        <v>168</v>
      </c>
      <c r="BA1221" s="6"/>
      <c r="BB1221" s="6" t="s">
        <v>168</v>
      </c>
      <c r="BC1221" s="6"/>
    </row>
    <row r="1222" spans="32:55">
      <c r="AF1222" t="str">
        <f t="shared" si="62"/>
        <v>1</v>
      </c>
      <c r="AG1222" t="str">
        <f t="shared" si="63"/>
        <v>C₅H₁₀O₅ (s)</v>
      </c>
      <c r="AH1222" t="s">
        <v>4230</v>
      </c>
      <c r="AI1222" t="s">
        <v>4231</v>
      </c>
      <c r="AJ1222" t="s">
        <v>4231</v>
      </c>
      <c r="AL1222" t="s">
        <v>4240</v>
      </c>
      <c r="AS1222" t="s">
        <v>160</v>
      </c>
      <c r="AX1222" s="6">
        <v>150.13</v>
      </c>
      <c r="AY1222" s="6" t="s">
        <v>4241</v>
      </c>
      <c r="AZ1222" s="6" t="s">
        <v>168</v>
      </c>
      <c r="BA1222" s="6"/>
      <c r="BB1222" s="6" t="s">
        <v>168</v>
      </c>
      <c r="BC1222" s="6"/>
    </row>
    <row r="1223" spans="32:55">
      <c r="AF1223" t="str">
        <f t="shared" si="62"/>
        <v>1</v>
      </c>
      <c r="AG1223" t="str">
        <f t="shared" si="63"/>
        <v>C₅H₁₀O₅ (s)</v>
      </c>
      <c r="AH1223" t="s">
        <v>4230</v>
      </c>
      <c r="AI1223" t="s">
        <v>4231</v>
      </c>
      <c r="AJ1223" t="s">
        <v>4231</v>
      </c>
      <c r="AL1223" t="s">
        <v>4242</v>
      </c>
      <c r="AS1223" t="s">
        <v>160</v>
      </c>
      <c r="AX1223" s="6">
        <v>150.13</v>
      </c>
      <c r="AY1223" s="6" t="s">
        <v>4243</v>
      </c>
      <c r="AZ1223" s="6" t="s">
        <v>168</v>
      </c>
      <c r="BA1223" s="6"/>
      <c r="BB1223" s="6" t="s">
        <v>168</v>
      </c>
      <c r="BC1223" s="6"/>
    </row>
    <row r="1224" spans="32:55">
      <c r="AF1224">
        <f t="shared" si="62"/>
        <v>0</v>
      </c>
      <c r="AG1224" t="str">
        <f t="shared" si="63"/>
        <v/>
      </c>
      <c r="AH1224" t="s">
        <v>4244</v>
      </c>
      <c r="AI1224" t="s">
        <v>4245</v>
      </c>
      <c r="AJ1224" t="s">
        <v>4245</v>
      </c>
      <c r="AL1224" t="s">
        <v>4246</v>
      </c>
      <c r="AS1224" t="s">
        <v>220</v>
      </c>
      <c r="AX1224" s="6">
        <v>134.13</v>
      </c>
      <c r="AY1224" s="6" t="s">
        <v>168</v>
      </c>
      <c r="AZ1224" s="6" t="s">
        <v>168</v>
      </c>
      <c r="BA1224" s="6"/>
      <c r="BB1224" s="6" t="s">
        <v>168</v>
      </c>
      <c r="BC1224" s="6"/>
    </row>
    <row r="1225" spans="32:55">
      <c r="AF1225">
        <f t="shared" si="62"/>
        <v>0</v>
      </c>
      <c r="AG1225" t="str">
        <f t="shared" si="63"/>
        <v/>
      </c>
      <c r="AH1225" t="s">
        <v>4247</v>
      </c>
      <c r="AI1225" t="s">
        <v>4248</v>
      </c>
      <c r="AJ1225" t="s">
        <v>4248</v>
      </c>
      <c r="AL1225" t="s">
        <v>4249</v>
      </c>
      <c r="AS1225" t="s">
        <v>220</v>
      </c>
      <c r="AX1225" s="6">
        <v>180.16</v>
      </c>
      <c r="AY1225" s="6" t="s">
        <v>168</v>
      </c>
      <c r="AZ1225" s="6" t="s">
        <v>168</v>
      </c>
      <c r="BA1225" s="6"/>
      <c r="BB1225" s="6" t="s">
        <v>168</v>
      </c>
      <c r="BC1225" s="6"/>
    </row>
    <row r="1226" spans="32:55">
      <c r="AF1226">
        <f t="shared" si="62"/>
        <v>0</v>
      </c>
      <c r="AG1226" t="str">
        <f t="shared" si="63"/>
        <v/>
      </c>
      <c r="AH1226" t="s">
        <v>4247</v>
      </c>
      <c r="AI1226" t="s">
        <v>4248</v>
      </c>
      <c r="AJ1226" t="s">
        <v>4248</v>
      </c>
      <c r="AL1226" t="s">
        <v>4250</v>
      </c>
      <c r="AS1226" t="s">
        <v>220</v>
      </c>
      <c r="AX1226" s="6">
        <v>180.16</v>
      </c>
      <c r="AY1226" s="6" t="s">
        <v>168</v>
      </c>
      <c r="AZ1226" s="6" t="s">
        <v>168</v>
      </c>
      <c r="BA1226" s="6"/>
      <c r="BB1226" s="6" t="s">
        <v>168</v>
      </c>
      <c r="BC1226" s="6"/>
    </row>
    <row r="1227" spans="32:55">
      <c r="AF1227" t="str">
        <f t="shared" si="62"/>
        <v>1</v>
      </c>
      <c r="AG1227" t="str">
        <f t="shared" si="63"/>
        <v>C₆H₁₂O₆ (s)</v>
      </c>
      <c r="AH1227" t="s">
        <v>4247</v>
      </c>
      <c r="AI1227" t="s">
        <v>4248</v>
      </c>
      <c r="AJ1227" t="s">
        <v>4248</v>
      </c>
      <c r="AL1227" t="s">
        <v>4251</v>
      </c>
      <c r="AS1227" t="s">
        <v>160</v>
      </c>
      <c r="AX1227" s="6">
        <v>180.16</v>
      </c>
      <c r="AY1227" s="6" t="s">
        <v>4252</v>
      </c>
      <c r="AZ1227" s="6">
        <v>212.13</v>
      </c>
      <c r="BA1227" s="6"/>
      <c r="BB1227" s="6">
        <v>-910.56</v>
      </c>
    </row>
    <row r="1228" spans="32:55">
      <c r="AF1228" t="str">
        <f t="shared" si="62"/>
        <v>1</v>
      </c>
      <c r="AG1228" t="str">
        <f t="shared" si="63"/>
        <v>C₆H₁₂O₆ (aq)</v>
      </c>
      <c r="AH1228" t="s">
        <v>4247</v>
      </c>
      <c r="AI1228" t="s">
        <v>4248</v>
      </c>
      <c r="AJ1228" t="s">
        <v>4248</v>
      </c>
      <c r="AL1228" t="s">
        <v>4251</v>
      </c>
      <c r="AS1228" t="s">
        <v>48</v>
      </c>
      <c r="AX1228" s="6">
        <v>180.16</v>
      </c>
      <c r="AY1228" s="6" t="s">
        <v>4253</v>
      </c>
      <c r="AZ1228" s="6">
        <v>264.01</v>
      </c>
      <c r="BA1228" s="6"/>
      <c r="BB1228" s="6">
        <v>-914.54</v>
      </c>
    </row>
    <row r="1229" spans="32:55">
      <c r="AF1229">
        <f t="shared" si="62"/>
        <v>0</v>
      </c>
      <c r="AG1229" t="str">
        <f t="shared" si="63"/>
        <v>C₆H₁₂O₆∙H₂O (s)</v>
      </c>
      <c r="AH1229" t="s">
        <v>4254</v>
      </c>
      <c r="AI1229" t="s">
        <v>4255</v>
      </c>
      <c r="AJ1229" t="s">
        <v>4256</v>
      </c>
      <c r="AL1229" t="s">
        <v>4257</v>
      </c>
      <c r="AS1229" t="s">
        <v>160</v>
      </c>
      <c r="AX1229" s="6">
        <v>198.18</v>
      </c>
      <c r="AY1229" s="6" t="s">
        <v>4258</v>
      </c>
      <c r="AZ1229" s="6">
        <v>252.3</v>
      </c>
      <c r="BA1229" s="6"/>
      <c r="BB1229" s="6">
        <v>-1149.5999999999999</v>
      </c>
    </row>
    <row r="1230" spans="32:55">
      <c r="AF1230" t="str">
        <f t="shared" si="62"/>
        <v>1</v>
      </c>
      <c r="AG1230" t="str">
        <f t="shared" si="63"/>
        <v>C₆H₁₂O₆ (s)</v>
      </c>
      <c r="AH1230" t="s">
        <v>4247</v>
      </c>
      <c r="AI1230" t="s">
        <v>4248</v>
      </c>
      <c r="AJ1230" t="s">
        <v>4248</v>
      </c>
      <c r="AL1230" t="s">
        <v>4259</v>
      </c>
      <c r="AS1230" t="s">
        <v>160</v>
      </c>
      <c r="AX1230" s="6">
        <v>180.16</v>
      </c>
      <c r="AY1230" s="6" t="s">
        <v>4260</v>
      </c>
      <c r="AZ1230" s="6">
        <v>228.03</v>
      </c>
      <c r="BA1230" s="6"/>
      <c r="BB1230" s="6">
        <v>-908.89</v>
      </c>
    </row>
    <row r="1231" spans="32:55">
      <c r="AF1231" t="str">
        <f t="shared" si="62"/>
        <v>1</v>
      </c>
      <c r="AG1231" t="str">
        <f t="shared" si="63"/>
        <v>C₆H₁₂O₆ (aq)</v>
      </c>
      <c r="AH1231" t="s">
        <v>4247</v>
      </c>
      <c r="AI1231" t="s">
        <v>4248</v>
      </c>
      <c r="AJ1231" t="s">
        <v>4248</v>
      </c>
      <c r="AL1231" t="s">
        <v>4259</v>
      </c>
      <c r="AS1231" t="s">
        <v>48</v>
      </c>
      <c r="AX1231" s="6">
        <v>180.16</v>
      </c>
      <c r="AY1231" s="6" t="s">
        <v>4261</v>
      </c>
      <c r="AZ1231" s="6">
        <v>264.01</v>
      </c>
      <c r="BA1231" s="6"/>
      <c r="BB1231" s="6">
        <v>-915.79</v>
      </c>
    </row>
    <row r="1232" spans="32:55">
      <c r="AF1232" t="str">
        <f t="shared" si="62"/>
        <v>1</v>
      </c>
      <c r="AG1232" t="str">
        <f t="shared" si="63"/>
        <v>C₆H₁₂O₆ (aq)</v>
      </c>
      <c r="AH1232" t="s">
        <v>4247</v>
      </c>
      <c r="AI1232" t="s">
        <v>4248</v>
      </c>
      <c r="AJ1232" t="s">
        <v>4248</v>
      </c>
      <c r="AK1232" t="s">
        <v>4262</v>
      </c>
      <c r="AL1232" t="s">
        <v>4263</v>
      </c>
      <c r="AS1232" t="s">
        <v>48</v>
      </c>
      <c r="AX1232" s="6">
        <v>180.16</v>
      </c>
      <c r="AY1232" s="6" t="s">
        <v>4264</v>
      </c>
      <c r="AZ1232" s="6">
        <v>269.45</v>
      </c>
      <c r="BA1232" s="6"/>
      <c r="BB1232" s="6">
        <v>-916.97</v>
      </c>
    </row>
    <row r="1233" spans="32:55">
      <c r="AF1233">
        <f t="shared" si="62"/>
        <v>0</v>
      </c>
      <c r="AG1233" t="str">
        <f t="shared" si="63"/>
        <v/>
      </c>
      <c r="AH1233" t="s">
        <v>4247</v>
      </c>
      <c r="AI1233" t="s">
        <v>4248</v>
      </c>
      <c r="AJ1233" t="s">
        <v>4248</v>
      </c>
      <c r="AL1233" t="s">
        <v>4265</v>
      </c>
      <c r="AS1233" t="s">
        <v>220</v>
      </c>
      <c r="AX1233" s="6">
        <v>180.16</v>
      </c>
      <c r="AY1233" s="6"/>
      <c r="AZ1233" s="6"/>
      <c r="BA1233" s="6"/>
      <c r="BB1233" s="6"/>
      <c r="BC1233" s="6"/>
    </row>
    <row r="1234" spans="32:55">
      <c r="AF1234">
        <f t="shared" si="62"/>
        <v>0</v>
      </c>
      <c r="AG1234" t="str">
        <f t="shared" si="63"/>
        <v/>
      </c>
      <c r="AH1234" t="s">
        <v>4247</v>
      </c>
      <c r="AI1234" t="s">
        <v>4248</v>
      </c>
      <c r="AJ1234" t="s">
        <v>4248</v>
      </c>
      <c r="AL1234" t="s">
        <v>4266</v>
      </c>
      <c r="AS1234" t="s">
        <v>220</v>
      </c>
      <c r="AX1234" s="6">
        <v>180.16</v>
      </c>
      <c r="AY1234" s="6" t="s">
        <v>168</v>
      </c>
      <c r="AZ1234" s="6" t="s">
        <v>168</v>
      </c>
      <c r="BA1234" s="6"/>
      <c r="BB1234" s="6" t="s">
        <v>168</v>
      </c>
      <c r="BC1234" s="6"/>
    </row>
    <row r="1235" spans="32:55">
      <c r="AF1235" t="str">
        <f t="shared" si="62"/>
        <v>1</v>
      </c>
      <c r="AG1235" t="str">
        <f t="shared" si="63"/>
        <v>C₆H₁₂O₆ (s)</v>
      </c>
      <c r="AH1235" t="s">
        <v>4247</v>
      </c>
      <c r="AI1235" t="s">
        <v>4248</v>
      </c>
      <c r="AJ1235" t="s">
        <v>4248</v>
      </c>
      <c r="AL1235" t="s">
        <v>4267</v>
      </c>
      <c r="AS1235" t="s">
        <v>160</v>
      </c>
      <c r="AX1235" s="6">
        <v>180.16</v>
      </c>
      <c r="AY1235" s="6" t="s">
        <v>4268</v>
      </c>
      <c r="AZ1235" s="6" t="s">
        <v>168</v>
      </c>
      <c r="BA1235" s="6"/>
      <c r="BB1235" s="6" t="s">
        <v>168</v>
      </c>
      <c r="BC1235" s="6"/>
    </row>
    <row r="1236" spans="32:55">
      <c r="AF1236">
        <f t="shared" si="62"/>
        <v>0</v>
      </c>
      <c r="AG1236" t="str">
        <f t="shared" si="63"/>
        <v/>
      </c>
      <c r="AH1236" t="s">
        <v>4247</v>
      </c>
      <c r="AI1236" t="s">
        <v>4248</v>
      </c>
      <c r="AJ1236" t="s">
        <v>4248</v>
      </c>
      <c r="AL1236" t="s">
        <v>4269</v>
      </c>
      <c r="AS1236" t="s">
        <v>220</v>
      </c>
      <c r="AX1236" s="6">
        <v>180.16</v>
      </c>
      <c r="AY1236" s="6" t="s">
        <v>168</v>
      </c>
      <c r="AZ1236" s="6" t="s">
        <v>168</v>
      </c>
      <c r="BA1236" s="6"/>
      <c r="BB1236" s="6" t="s">
        <v>168</v>
      </c>
      <c r="BC1236" s="6"/>
    </row>
    <row r="1237" spans="32:55">
      <c r="AF1237">
        <f t="shared" si="62"/>
        <v>0</v>
      </c>
      <c r="AG1237" t="str">
        <f t="shared" si="63"/>
        <v/>
      </c>
      <c r="AH1237" t="s">
        <v>4247</v>
      </c>
      <c r="AI1237" t="s">
        <v>4248</v>
      </c>
      <c r="AJ1237" t="s">
        <v>4248</v>
      </c>
      <c r="AL1237" t="s">
        <v>4270</v>
      </c>
      <c r="AS1237" t="s">
        <v>220</v>
      </c>
      <c r="AX1237" s="6">
        <v>180.16</v>
      </c>
      <c r="AY1237" s="6" t="s">
        <v>168</v>
      </c>
      <c r="AZ1237" s="6" t="s">
        <v>168</v>
      </c>
      <c r="BA1237" s="6"/>
      <c r="BB1237" s="6" t="s">
        <v>168</v>
      </c>
      <c r="BC1237" s="6"/>
    </row>
    <row r="1238" spans="32:55">
      <c r="AF1238" t="str">
        <f t="shared" si="62"/>
        <v>1</v>
      </c>
      <c r="AG1238" t="str">
        <f t="shared" si="63"/>
        <v>C₆H₁₂O₆ (s)</v>
      </c>
      <c r="AH1238" t="s">
        <v>4247</v>
      </c>
      <c r="AI1238" t="s">
        <v>4248</v>
      </c>
      <c r="AJ1238" t="s">
        <v>4248</v>
      </c>
      <c r="AL1238" t="s">
        <v>4271</v>
      </c>
      <c r="AS1238" t="s">
        <v>160</v>
      </c>
      <c r="AX1238" s="6">
        <v>180.16</v>
      </c>
      <c r="AY1238" s="6" t="s">
        <v>4272</v>
      </c>
      <c r="AZ1238" s="6"/>
      <c r="BA1238" s="6"/>
      <c r="BB1238" s="6"/>
      <c r="BC1238" s="6"/>
    </row>
    <row r="1239" spans="32:55">
      <c r="AF1239" t="str">
        <f t="shared" si="62"/>
        <v>1</v>
      </c>
      <c r="AG1239" t="str">
        <f t="shared" si="63"/>
        <v>C₆H₁₂O₆ (s)</v>
      </c>
      <c r="AH1239" t="s">
        <v>4247</v>
      </c>
      <c r="AI1239" t="s">
        <v>4248</v>
      </c>
      <c r="AJ1239" t="s">
        <v>4248</v>
      </c>
      <c r="AL1239" t="s">
        <v>4273</v>
      </c>
      <c r="AS1239" t="s">
        <v>160</v>
      </c>
      <c r="AX1239" s="6">
        <v>180.16</v>
      </c>
      <c r="AY1239" s="6" t="s">
        <v>4274</v>
      </c>
      <c r="AZ1239" s="6" t="s">
        <v>168</v>
      </c>
      <c r="BA1239" s="6"/>
      <c r="BB1239" s="6" t="s">
        <v>168</v>
      </c>
      <c r="BC1239" s="6"/>
    </row>
    <row r="1240" spans="32:55">
      <c r="AF1240" t="str">
        <f t="shared" si="62"/>
        <v>1</v>
      </c>
      <c r="AG1240" t="str">
        <f t="shared" si="63"/>
        <v>C₆H₁₂O₆ (aq)</v>
      </c>
      <c r="AH1240" t="s">
        <v>4247</v>
      </c>
      <c r="AI1240" t="s">
        <v>4248</v>
      </c>
      <c r="AJ1240" t="s">
        <v>4248</v>
      </c>
      <c r="AL1240" t="s">
        <v>4275</v>
      </c>
      <c r="AS1240" t="s">
        <v>48</v>
      </c>
      <c r="AX1240" s="6">
        <v>180.16</v>
      </c>
      <c r="AY1240" s="6" t="s">
        <v>168</v>
      </c>
      <c r="AZ1240" s="6" t="s">
        <v>168</v>
      </c>
      <c r="BA1240" s="6"/>
      <c r="BB1240" s="6">
        <v>-915</v>
      </c>
    </row>
    <row r="1241" spans="32:55">
      <c r="AF1241" t="str">
        <f t="shared" si="62"/>
        <v>1</v>
      </c>
      <c r="AG1241" t="str">
        <f t="shared" si="63"/>
        <v>C₁₂H₂₂O₁₁ (s)</v>
      </c>
      <c r="AH1241" t="s">
        <v>4276</v>
      </c>
      <c r="AI1241" t="s">
        <v>4277</v>
      </c>
      <c r="AJ1241" t="s">
        <v>4277</v>
      </c>
      <c r="AL1241" t="s">
        <v>4278</v>
      </c>
      <c r="AS1241" t="s">
        <v>160</v>
      </c>
      <c r="AX1241" s="6">
        <v>342.3</v>
      </c>
      <c r="AY1241" s="6" t="s">
        <v>4279</v>
      </c>
      <c r="AZ1241" s="6" t="s">
        <v>168</v>
      </c>
      <c r="BA1241" s="6"/>
      <c r="BB1241" s="6" t="s">
        <v>168</v>
      </c>
      <c r="BC1241" s="6"/>
    </row>
    <row r="1242" spans="32:55">
      <c r="AF1242" t="str">
        <f t="shared" si="62"/>
        <v>1</v>
      </c>
      <c r="AG1242" t="str">
        <f t="shared" si="63"/>
        <v>C₁₂H₂₂O₁₁ (aq)</v>
      </c>
      <c r="AH1242" t="s">
        <v>4276</v>
      </c>
      <c r="AI1242" t="s">
        <v>4277</v>
      </c>
      <c r="AJ1242" t="s">
        <v>4277</v>
      </c>
      <c r="AL1242" t="s">
        <v>4278</v>
      </c>
      <c r="AS1242" t="s">
        <v>48</v>
      </c>
      <c r="AX1242" s="6">
        <v>342.3</v>
      </c>
      <c r="AY1242" s="6" t="s">
        <v>4280</v>
      </c>
      <c r="AZ1242" s="6">
        <v>394.14</v>
      </c>
      <c r="BA1242" s="6"/>
      <c r="BB1242" s="6">
        <v>-1564.9</v>
      </c>
    </row>
    <row r="1243" spans="32:55">
      <c r="AF1243" t="str">
        <f t="shared" si="62"/>
        <v>1</v>
      </c>
      <c r="AG1243" t="str">
        <f t="shared" si="63"/>
        <v>C₁₂H₂₂O₁₁ (s)</v>
      </c>
      <c r="AH1243" t="s">
        <v>4276</v>
      </c>
      <c r="AI1243" t="s">
        <v>4277</v>
      </c>
      <c r="AJ1243" t="s">
        <v>4277</v>
      </c>
      <c r="AL1243" t="s">
        <v>4281</v>
      </c>
      <c r="AS1243" t="s">
        <v>160</v>
      </c>
      <c r="AX1243" s="6">
        <v>342.3</v>
      </c>
      <c r="AY1243" s="6" t="s">
        <v>4282</v>
      </c>
      <c r="AZ1243" s="6">
        <v>386.18</v>
      </c>
      <c r="BA1243" s="6"/>
      <c r="BB1243" s="6">
        <v>-1566.9</v>
      </c>
    </row>
    <row r="1244" spans="32:55">
      <c r="AF1244" t="str">
        <f t="shared" si="62"/>
        <v>1</v>
      </c>
      <c r="AG1244" t="str">
        <f t="shared" si="63"/>
        <v>C₁₂H₂₂O₁₁ (aq)</v>
      </c>
      <c r="AH1244" t="s">
        <v>4276</v>
      </c>
      <c r="AI1244" t="s">
        <v>4277</v>
      </c>
      <c r="AJ1244" t="s">
        <v>4277</v>
      </c>
      <c r="AL1244" t="s">
        <v>4281</v>
      </c>
      <c r="AS1244" t="s">
        <v>48</v>
      </c>
      <c r="AX1244" s="6">
        <v>342.3</v>
      </c>
      <c r="AY1244" s="6" t="s">
        <v>4283</v>
      </c>
      <c r="AZ1244" s="6">
        <v>349.55</v>
      </c>
      <c r="BA1244" s="6"/>
      <c r="BB1244" s="6">
        <v>-1566.15</v>
      </c>
    </row>
    <row r="1245" spans="32:55">
      <c r="AF1245" t="str">
        <f t="shared" si="62"/>
        <v>1</v>
      </c>
      <c r="AG1245" t="str">
        <f t="shared" si="63"/>
        <v>C₁₂H₂₂O₁₁ (aq)</v>
      </c>
      <c r="AH1245" t="s">
        <v>4276</v>
      </c>
      <c r="AI1245" t="s">
        <v>4277</v>
      </c>
      <c r="AJ1245" t="s">
        <v>4277</v>
      </c>
      <c r="AL1245" t="s">
        <v>4284</v>
      </c>
      <c r="AS1245" t="s">
        <v>48</v>
      </c>
      <c r="AX1245" s="6">
        <v>342.3</v>
      </c>
      <c r="AY1245" s="6" t="s">
        <v>4285</v>
      </c>
      <c r="AZ1245" s="6">
        <v>399.57</v>
      </c>
      <c r="BA1245" s="6"/>
      <c r="BB1245" s="6">
        <v>-1567.33</v>
      </c>
    </row>
    <row r="1246" spans="32:55">
      <c r="AF1246" t="str">
        <f t="shared" si="62"/>
        <v>1</v>
      </c>
      <c r="AG1246" t="str">
        <f t="shared" si="63"/>
        <v>C₁₂H₂₂O₁₁∙H₂O (s)</v>
      </c>
      <c r="AH1246" t="s">
        <v>4286</v>
      </c>
      <c r="AI1246" t="s">
        <v>4287</v>
      </c>
      <c r="AJ1246" t="s">
        <v>4288</v>
      </c>
      <c r="AL1246" t="s">
        <v>4289</v>
      </c>
      <c r="AS1246" t="s">
        <v>160</v>
      </c>
      <c r="AX1246" s="6">
        <v>360.32</v>
      </c>
      <c r="AY1246" s="6" t="s">
        <v>4290</v>
      </c>
      <c r="AZ1246" s="6">
        <v>415.05</v>
      </c>
      <c r="BA1246" s="6"/>
      <c r="BB1246" s="6">
        <v>-1805.81</v>
      </c>
    </row>
    <row r="1247" spans="32:55">
      <c r="AF1247" t="str">
        <f t="shared" si="62"/>
        <v>1</v>
      </c>
      <c r="AG1247" t="str">
        <f t="shared" si="63"/>
        <v>C₁₂H₂₂O₁₁ (aq)</v>
      </c>
      <c r="AH1247" t="s">
        <v>4276</v>
      </c>
      <c r="AI1247" t="s">
        <v>4277</v>
      </c>
      <c r="AJ1247" t="s">
        <v>4277</v>
      </c>
      <c r="AL1247" t="s">
        <v>4291</v>
      </c>
      <c r="AS1247" t="s">
        <v>48</v>
      </c>
      <c r="AX1247" s="6">
        <v>342.3</v>
      </c>
      <c r="AY1247" s="6" t="s">
        <v>4292</v>
      </c>
      <c r="AZ1247" s="6">
        <v>403.34</v>
      </c>
      <c r="BA1247" s="6"/>
      <c r="BB1247" s="6">
        <v>-1573.6</v>
      </c>
    </row>
    <row r="1248" spans="32:55">
      <c r="AF1248" t="str">
        <f t="shared" si="62"/>
        <v>1</v>
      </c>
      <c r="AG1248" t="str">
        <f t="shared" si="63"/>
        <v>C₁₂H₂₂O₁₁ (aq)</v>
      </c>
      <c r="AH1248" t="s">
        <v>4276</v>
      </c>
      <c r="AI1248" t="s">
        <v>4277</v>
      </c>
      <c r="AJ1248" t="s">
        <v>4277</v>
      </c>
      <c r="AL1248" t="s">
        <v>4293</v>
      </c>
      <c r="AS1248" t="s">
        <v>48</v>
      </c>
      <c r="AX1248" s="6">
        <v>342.3</v>
      </c>
      <c r="AY1248" s="6" t="s">
        <v>4294</v>
      </c>
      <c r="AZ1248" s="6">
        <v>400.41</v>
      </c>
      <c r="BA1248" s="6"/>
      <c r="BB1248" s="6">
        <v>-1572.18</v>
      </c>
    </row>
    <row r="1249" spans="32:55">
      <c r="AF1249" t="str">
        <f t="shared" si="62"/>
        <v>1</v>
      </c>
      <c r="AG1249" t="str">
        <f t="shared" si="63"/>
        <v>C₁₂H₂₂O₁₁ (aq)</v>
      </c>
      <c r="AH1249" t="s">
        <v>4276</v>
      </c>
      <c r="AI1249" t="s">
        <v>4277</v>
      </c>
      <c r="AJ1249" t="s">
        <v>4277</v>
      </c>
      <c r="AL1249" t="s">
        <v>4295</v>
      </c>
      <c r="AS1249" t="s">
        <v>48</v>
      </c>
      <c r="AX1249" s="6">
        <v>342.3</v>
      </c>
      <c r="AY1249" s="6" t="s">
        <v>4296</v>
      </c>
      <c r="AZ1249" s="6">
        <v>407.94</v>
      </c>
      <c r="BA1249" s="6"/>
      <c r="BB1249" s="6">
        <v>-1574.69</v>
      </c>
    </row>
    <row r="1250" spans="32:55">
      <c r="AF1250" t="str">
        <f t="shared" si="62"/>
        <v>1</v>
      </c>
      <c r="AG1250" t="str">
        <f t="shared" si="63"/>
        <v>C₁₂H₂₂O₁₁∙H₂O (s)</v>
      </c>
      <c r="AH1250" t="s">
        <v>4286</v>
      </c>
      <c r="AI1250" t="s">
        <v>4287</v>
      </c>
      <c r="AJ1250" t="s">
        <v>4288</v>
      </c>
      <c r="AL1250" t="s">
        <v>4297</v>
      </c>
      <c r="AS1250" t="s">
        <v>160</v>
      </c>
      <c r="AX1250" s="6">
        <v>360.32</v>
      </c>
      <c r="AY1250" s="6" t="s">
        <v>4298</v>
      </c>
      <c r="AZ1250" s="6">
        <v>417.56</v>
      </c>
      <c r="BA1250" s="6"/>
      <c r="BB1250" s="6">
        <v>-1809.58</v>
      </c>
    </row>
    <row r="1251" spans="32:55">
      <c r="AF1251" t="str">
        <f t="shared" si="62"/>
        <v>1</v>
      </c>
      <c r="AG1251" t="str">
        <f t="shared" si="63"/>
        <v>C₁₂H₂₂O₁₁ (s)</v>
      </c>
      <c r="AH1251" t="s">
        <v>4276</v>
      </c>
      <c r="AI1251" t="s">
        <v>4277</v>
      </c>
      <c r="AJ1251" t="s">
        <v>4277</v>
      </c>
      <c r="AL1251" t="s">
        <v>4299</v>
      </c>
      <c r="AS1251" t="s">
        <v>160</v>
      </c>
      <c r="AX1251" s="6">
        <v>342.3</v>
      </c>
      <c r="AY1251" s="6" t="s">
        <v>4279</v>
      </c>
      <c r="AZ1251" s="6">
        <v>360.24</v>
      </c>
      <c r="BA1251" s="6"/>
      <c r="BB1251" s="6">
        <v>-1544.31</v>
      </c>
    </row>
    <row r="1252" spans="32:55">
      <c r="AF1252" t="str">
        <f t="shared" si="62"/>
        <v>1</v>
      </c>
      <c r="AG1252" t="str">
        <f t="shared" si="63"/>
        <v>C₁₂H₂₂O₁₁ (aq)</v>
      </c>
      <c r="AH1252" t="s">
        <v>4276</v>
      </c>
      <c r="AI1252" t="s">
        <v>4277</v>
      </c>
      <c r="AJ1252" t="s">
        <v>4277</v>
      </c>
      <c r="AL1252" t="s">
        <v>4299</v>
      </c>
      <c r="AS1252" t="s">
        <v>48</v>
      </c>
      <c r="AX1252" s="6">
        <v>342.3</v>
      </c>
      <c r="AY1252" s="6" t="s">
        <v>4300</v>
      </c>
      <c r="AZ1252" s="6">
        <v>403.76</v>
      </c>
      <c r="BA1252" s="6"/>
      <c r="BB1252" s="6">
        <v>-1551.43</v>
      </c>
    </row>
    <row r="1253" spans="32:55">
      <c r="AF1253">
        <f t="shared" si="62"/>
        <v>0</v>
      </c>
      <c r="AG1253" t="str">
        <f t="shared" si="63"/>
        <v/>
      </c>
      <c r="AH1253" t="s">
        <v>4276</v>
      </c>
      <c r="AI1253" t="s">
        <v>4277</v>
      </c>
      <c r="AJ1253" t="s">
        <v>4277</v>
      </c>
      <c r="AL1253" t="s">
        <v>4301</v>
      </c>
      <c r="AS1253" t="s">
        <v>220</v>
      </c>
      <c r="AX1253" s="6">
        <v>342.3</v>
      </c>
      <c r="AY1253" s="6" t="s">
        <v>168</v>
      </c>
      <c r="AZ1253" s="6" t="s">
        <v>168</v>
      </c>
      <c r="BA1253" s="6"/>
      <c r="BB1253" s="6" t="s">
        <v>168</v>
      </c>
      <c r="BC1253" s="6"/>
    </row>
    <row r="1254" spans="32:55">
      <c r="AF1254">
        <f t="shared" si="62"/>
        <v>0</v>
      </c>
      <c r="AG1254" t="str">
        <f t="shared" si="63"/>
        <v/>
      </c>
      <c r="AH1254" t="s">
        <v>4302</v>
      </c>
      <c r="AI1254" t="s">
        <v>4303</v>
      </c>
      <c r="AJ1254" t="s">
        <v>4304</v>
      </c>
      <c r="AL1254" t="s">
        <v>4305</v>
      </c>
      <c r="AS1254" t="s">
        <v>220</v>
      </c>
      <c r="AX1254" s="6" t="s">
        <v>168</v>
      </c>
      <c r="AY1254" s="6" t="s">
        <v>168</v>
      </c>
      <c r="AZ1254" s="6" t="s">
        <v>168</v>
      </c>
      <c r="BA1254" s="6"/>
      <c r="BB1254" s="6" t="s">
        <v>168</v>
      </c>
      <c r="BC1254" s="6"/>
    </row>
    <row r="1255" spans="32:55">
      <c r="AF1255">
        <f t="shared" si="62"/>
        <v>0</v>
      </c>
      <c r="AG1255" t="str">
        <f t="shared" si="63"/>
        <v/>
      </c>
      <c r="AH1255" t="s">
        <v>4302</v>
      </c>
      <c r="AI1255" t="s">
        <v>4303</v>
      </c>
      <c r="AJ1255" t="s">
        <v>4304</v>
      </c>
      <c r="AL1255" t="s">
        <v>4306</v>
      </c>
      <c r="AS1255" t="s">
        <v>220</v>
      </c>
      <c r="AX1255" s="6" t="s">
        <v>4307</v>
      </c>
      <c r="AY1255" s="6" t="s">
        <v>168</v>
      </c>
      <c r="AZ1255" s="6" t="s">
        <v>168</v>
      </c>
      <c r="BA1255" s="6"/>
      <c r="BB1255" s="6" t="s">
        <v>168</v>
      </c>
      <c r="BC1255" s="6"/>
    </row>
    <row r="1256" spans="32:55">
      <c r="AF1256">
        <f t="shared" si="62"/>
        <v>0</v>
      </c>
      <c r="AG1256" t="str">
        <f t="shared" si="63"/>
        <v/>
      </c>
      <c r="AH1256" t="s">
        <v>4302</v>
      </c>
      <c r="AI1256" t="s">
        <v>4303</v>
      </c>
      <c r="AJ1256" t="s">
        <v>4304</v>
      </c>
      <c r="AL1256" t="s">
        <v>4308</v>
      </c>
      <c r="AS1256" t="s">
        <v>220</v>
      </c>
      <c r="AX1256" s="6" t="s">
        <v>168</v>
      </c>
      <c r="AY1256" s="6" t="s">
        <v>168</v>
      </c>
      <c r="AZ1256" s="6" t="s">
        <v>168</v>
      </c>
      <c r="BA1256" s="6"/>
      <c r="BB1256" s="6" t="s">
        <v>168</v>
      </c>
      <c r="BC1256" s="6"/>
    </row>
    <row r="1257" spans="32:55">
      <c r="AF1257">
        <f t="shared" si="62"/>
        <v>0</v>
      </c>
      <c r="AG1257" t="str">
        <f t="shared" si="63"/>
        <v/>
      </c>
      <c r="AH1257" t="s">
        <v>4302</v>
      </c>
      <c r="AI1257" t="s">
        <v>4303</v>
      </c>
      <c r="AJ1257" t="s">
        <v>4304</v>
      </c>
      <c r="AL1257" t="s">
        <v>4309</v>
      </c>
      <c r="AS1257" t="s">
        <v>220</v>
      </c>
      <c r="AX1257" s="6" t="s">
        <v>168</v>
      </c>
      <c r="AY1257" s="6" t="s">
        <v>168</v>
      </c>
      <c r="AZ1257" s="6" t="s">
        <v>168</v>
      </c>
      <c r="BA1257" s="6"/>
      <c r="BB1257" s="6" t="s">
        <v>168</v>
      </c>
      <c r="BC1257" s="6"/>
    </row>
    <row r="1258" spans="32:55">
      <c r="AF1258">
        <f t="shared" si="62"/>
        <v>0</v>
      </c>
      <c r="AG1258" t="str">
        <f t="shared" si="63"/>
        <v/>
      </c>
      <c r="AH1258" t="s">
        <v>4302</v>
      </c>
      <c r="AI1258" t="s">
        <v>4303</v>
      </c>
      <c r="AJ1258" t="s">
        <v>4304</v>
      </c>
      <c r="AL1258" t="s">
        <v>4310</v>
      </c>
      <c r="AS1258" t="s">
        <v>220</v>
      </c>
      <c r="AX1258" s="6" t="s">
        <v>168</v>
      </c>
      <c r="AY1258" s="6" t="s">
        <v>168</v>
      </c>
      <c r="AZ1258" s="6" t="s">
        <v>168</v>
      </c>
      <c r="BA1258" s="6"/>
      <c r="BB1258" s="6" t="s">
        <v>168</v>
      </c>
      <c r="BC1258" s="6"/>
    </row>
    <row r="1259" spans="32:55">
      <c r="AF1259">
        <f t="shared" si="62"/>
        <v>0</v>
      </c>
      <c r="AG1259" t="str">
        <f t="shared" si="63"/>
        <v>HCOOH (l)</v>
      </c>
      <c r="AH1259" t="s">
        <v>4311</v>
      </c>
      <c r="AI1259" t="s">
        <v>4311</v>
      </c>
      <c r="AJ1259" t="s">
        <v>4311</v>
      </c>
      <c r="AK1259" t="s">
        <v>4312</v>
      </c>
      <c r="AL1259" t="s">
        <v>4313</v>
      </c>
      <c r="AS1259" t="s">
        <v>239</v>
      </c>
      <c r="AX1259" s="6">
        <v>46.03</v>
      </c>
      <c r="AY1259" s="6" t="s">
        <v>4314</v>
      </c>
      <c r="AZ1259" s="6">
        <v>129</v>
      </c>
      <c r="BA1259" s="6"/>
      <c r="BB1259" s="6">
        <v>-361.4</v>
      </c>
    </row>
    <row r="1260" spans="32:55">
      <c r="AF1260">
        <f t="shared" si="62"/>
        <v>0</v>
      </c>
      <c r="AG1260" t="str">
        <f t="shared" si="63"/>
        <v>HCOOH (g)</v>
      </c>
      <c r="AH1260" t="s">
        <v>4311</v>
      </c>
      <c r="AI1260" t="s">
        <v>4311</v>
      </c>
      <c r="AJ1260" t="s">
        <v>4311</v>
      </c>
      <c r="AL1260" t="s">
        <v>4313</v>
      </c>
      <c r="AS1260" t="s">
        <v>47</v>
      </c>
      <c r="AX1260" s="6">
        <v>46.03</v>
      </c>
      <c r="AY1260" s="6" t="s">
        <v>4315</v>
      </c>
      <c r="AZ1260" s="6">
        <v>248.7</v>
      </c>
      <c r="BA1260" s="6"/>
      <c r="BB1260" s="6">
        <v>-351</v>
      </c>
    </row>
    <row r="1261" spans="32:55">
      <c r="AF1261">
        <f t="shared" si="62"/>
        <v>0</v>
      </c>
      <c r="AG1261" t="str">
        <f t="shared" si="63"/>
        <v>HCOOH (aq)</v>
      </c>
      <c r="AH1261" t="s">
        <v>4311</v>
      </c>
      <c r="AI1261" t="s">
        <v>4311</v>
      </c>
      <c r="AJ1261" t="s">
        <v>4311</v>
      </c>
      <c r="AL1261" t="s">
        <v>4313</v>
      </c>
      <c r="AS1261" t="s">
        <v>48</v>
      </c>
      <c r="AX1261" s="6">
        <v>46.03</v>
      </c>
      <c r="AY1261" s="6" t="s">
        <v>4316</v>
      </c>
      <c r="AZ1261" s="6">
        <v>163.19999999999999</v>
      </c>
      <c r="BA1261" s="6"/>
      <c r="BB1261" s="6">
        <v>-425.43</v>
      </c>
    </row>
    <row r="1262" spans="32:55">
      <c r="AF1262">
        <f t="shared" si="62"/>
        <v>0</v>
      </c>
      <c r="AG1262" t="str">
        <f t="shared" si="63"/>
        <v>HCOO⁻ (aq)</v>
      </c>
      <c r="AH1262" t="s">
        <v>4317</v>
      </c>
      <c r="AI1262" t="s">
        <v>4318</v>
      </c>
      <c r="AJ1262" t="s">
        <v>4318</v>
      </c>
      <c r="AL1262" t="s">
        <v>4319</v>
      </c>
      <c r="AS1262" t="s">
        <v>48</v>
      </c>
      <c r="AX1262" s="6">
        <v>45.02</v>
      </c>
      <c r="AY1262" s="6" t="s">
        <v>4320</v>
      </c>
      <c r="AZ1262" s="6">
        <v>92</v>
      </c>
      <c r="BA1262" s="6"/>
      <c r="BB1262" s="6">
        <v>-351.04</v>
      </c>
    </row>
    <row r="1263" spans="32:55">
      <c r="AF1263">
        <f t="shared" si="62"/>
        <v>0</v>
      </c>
      <c r="AG1263" t="str">
        <f t="shared" si="63"/>
        <v>CH₃COOH (l)</v>
      </c>
      <c r="AH1263" t="s">
        <v>4321</v>
      </c>
      <c r="AI1263" t="s">
        <v>4322</v>
      </c>
      <c r="AJ1263" t="s">
        <v>4322</v>
      </c>
      <c r="AK1263" t="s">
        <v>4323</v>
      </c>
      <c r="AL1263" t="s">
        <v>4324</v>
      </c>
      <c r="AS1263" t="s">
        <v>239</v>
      </c>
      <c r="AX1263" s="6">
        <v>60.05</v>
      </c>
      <c r="AY1263" s="6" t="s">
        <v>4325</v>
      </c>
      <c r="AZ1263" s="6">
        <v>159.80000000000001</v>
      </c>
      <c r="BA1263" s="6"/>
      <c r="BB1263" s="6">
        <v>-389.9</v>
      </c>
    </row>
    <row r="1264" spans="32:55">
      <c r="AF1264">
        <f t="shared" si="62"/>
        <v>0</v>
      </c>
      <c r="AG1264" t="str">
        <f t="shared" si="63"/>
        <v>CH₃COOH (g)</v>
      </c>
      <c r="AH1264" t="s">
        <v>4321</v>
      </c>
      <c r="AI1264" t="s">
        <v>4322</v>
      </c>
      <c r="AJ1264" t="s">
        <v>4322</v>
      </c>
      <c r="AL1264" t="s">
        <v>4324</v>
      </c>
      <c r="AS1264" t="s">
        <v>47</v>
      </c>
      <c r="AX1264" s="6">
        <v>60.05</v>
      </c>
      <c r="AY1264" s="6" t="s">
        <v>4326</v>
      </c>
      <c r="AZ1264" s="6">
        <v>283.5</v>
      </c>
      <c r="BA1264" s="6"/>
      <c r="BB1264" s="6">
        <v>-374.2</v>
      </c>
    </row>
    <row r="1265" spans="32:55">
      <c r="AF1265">
        <f t="shared" si="62"/>
        <v>0</v>
      </c>
      <c r="AG1265" t="str">
        <f t="shared" si="63"/>
        <v>CH₃COOH (aq)</v>
      </c>
      <c r="AH1265" t="s">
        <v>4321</v>
      </c>
      <c r="AI1265" t="s">
        <v>4322</v>
      </c>
      <c r="AJ1265" t="s">
        <v>4322</v>
      </c>
      <c r="AL1265" t="s">
        <v>4324</v>
      </c>
      <c r="AS1265" t="s">
        <v>48</v>
      </c>
      <c r="AX1265" s="6">
        <v>60.05</v>
      </c>
      <c r="AY1265" s="6" t="s">
        <v>4327</v>
      </c>
      <c r="AZ1265" s="6">
        <v>205.43</v>
      </c>
      <c r="BA1265" s="6"/>
      <c r="BB1265" s="6">
        <v>-404.09</v>
      </c>
    </row>
    <row r="1266" spans="32:55">
      <c r="AF1266">
        <f t="shared" si="62"/>
        <v>0</v>
      </c>
      <c r="AG1266" t="str">
        <f t="shared" si="63"/>
        <v>CH₃COO⁻ (aq)</v>
      </c>
      <c r="AH1266" t="s">
        <v>4328</v>
      </c>
      <c r="AI1266" t="s">
        <v>4329</v>
      </c>
      <c r="AJ1266" t="s">
        <v>4329</v>
      </c>
      <c r="AK1266" t="s">
        <v>4330</v>
      </c>
      <c r="AL1266" t="s">
        <v>4331</v>
      </c>
      <c r="AS1266" t="s">
        <v>48</v>
      </c>
      <c r="AX1266" s="6">
        <v>59.05</v>
      </c>
      <c r="AY1266" s="6" t="s">
        <v>4332</v>
      </c>
      <c r="AZ1266" s="6">
        <v>112.97</v>
      </c>
      <c r="BA1266" s="6"/>
      <c r="BB1266" s="6">
        <v>-376.89</v>
      </c>
    </row>
    <row r="1267" spans="32:55">
      <c r="AF1267">
        <f t="shared" si="62"/>
        <v>0</v>
      </c>
      <c r="AG1267" t="str">
        <f t="shared" si="63"/>
        <v>CH₂=CHCOOH (l)</v>
      </c>
      <c r="AH1267" t="s">
        <v>4333</v>
      </c>
      <c r="AI1267" t="s">
        <v>4334</v>
      </c>
      <c r="AJ1267" t="s">
        <v>4334</v>
      </c>
      <c r="AL1267" t="s">
        <v>4335</v>
      </c>
      <c r="AS1267" t="s">
        <v>239</v>
      </c>
      <c r="AX1267" s="6">
        <v>72.06</v>
      </c>
      <c r="AY1267" s="6" t="s">
        <v>4336</v>
      </c>
      <c r="AZ1267" s="6" t="s">
        <v>168</v>
      </c>
      <c r="BA1267" s="6"/>
      <c r="BB1267" s="6" t="s">
        <v>168</v>
      </c>
      <c r="BC1267" s="6"/>
    </row>
    <row r="1268" spans="32:55">
      <c r="AF1268">
        <f t="shared" si="62"/>
        <v>0</v>
      </c>
      <c r="AG1268" t="str">
        <f t="shared" si="63"/>
        <v>CH₂=CHCOOH (g)</v>
      </c>
      <c r="AH1268" t="s">
        <v>4333</v>
      </c>
      <c r="AI1268" t="s">
        <v>4334</v>
      </c>
      <c r="AJ1268" t="s">
        <v>4334</v>
      </c>
      <c r="AK1268" t="s">
        <v>4337</v>
      </c>
      <c r="AL1268" t="s">
        <v>4335</v>
      </c>
      <c r="AS1268" t="s">
        <v>47</v>
      </c>
      <c r="AX1268" s="6">
        <v>72.06</v>
      </c>
      <c r="AY1268" s="6" t="s">
        <v>4338</v>
      </c>
      <c r="AZ1268" s="6">
        <v>315</v>
      </c>
      <c r="BA1268" s="6"/>
      <c r="BB1268" s="6">
        <v>-286.06</v>
      </c>
    </row>
    <row r="1269" spans="32:55">
      <c r="AF1269">
        <f t="shared" si="62"/>
        <v>0</v>
      </c>
      <c r="AG1269" t="str">
        <f t="shared" si="63"/>
        <v>CH₃CH₂COOH (l)</v>
      </c>
      <c r="AH1269" t="s">
        <v>4339</v>
      </c>
      <c r="AI1269" t="s">
        <v>4340</v>
      </c>
      <c r="AJ1269" t="s">
        <v>4340</v>
      </c>
      <c r="AK1269" t="s">
        <v>4341</v>
      </c>
      <c r="AL1269" t="s">
        <v>4342</v>
      </c>
      <c r="AS1269" t="s">
        <v>239</v>
      </c>
      <c r="AX1269" s="6">
        <v>74.09</v>
      </c>
      <c r="AY1269" s="6" t="s">
        <v>4343</v>
      </c>
      <c r="AZ1269" s="6">
        <v>191</v>
      </c>
      <c r="BA1269" s="6"/>
      <c r="BB1269" s="6">
        <v>-383.46</v>
      </c>
    </row>
    <row r="1270" spans="32:55">
      <c r="AF1270">
        <f t="shared" si="62"/>
        <v>0</v>
      </c>
      <c r="AG1270" t="str">
        <f t="shared" si="63"/>
        <v>CH₃C(O)OOH (g)</v>
      </c>
      <c r="AH1270" t="s">
        <v>4344</v>
      </c>
      <c r="AI1270" t="s">
        <v>4345</v>
      </c>
      <c r="AJ1270" t="s">
        <v>4346</v>
      </c>
      <c r="AL1270" t="s">
        <v>4347</v>
      </c>
      <c r="AS1270" t="s">
        <v>47</v>
      </c>
      <c r="AX1270" s="6">
        <v>76.05</v>
      </c>
      <c r="AY1270" s="6" t="s">
        <v>168</v>
      </c>
      <c r="AZ1270" s="6" t="s">
        <v>168</v>
      </c>
      <c r="BA1270" s="6"/>
      <c r="BB1270" s="6" t="s">
        <v>168</v>
      </c>
      <c r="BC1270" s="6"/>
    </row>
    <row r="1271" spans="32:55">
      <c r="AF1271">
        <f t="shared" si="62"/>
        <v>0</v>
      </c>
      <c r="AG1271" t="str">
        <f t="shared" si="63"/>
        <v>CH₂OHCOOH (s)</v>
      </c>
      <c r="AH1271" t="s">
        <v>4348</v>
      </c>
      <c r="AI1271" t="s">
        <v>4349</v>
      </c>
      <c r="AJ1271" t="s">
        <v>4349</v>
      </c>
      <c r="AL1271" t="s">
        <v>4350</v>
      </c>
      <c r="AS1271" t="s">
        <v>160</v>
      </c>
      <c r="AX1271" s="6">
        <v>76.05</v>
      </c>
      <c r="AY1271" s="6" t="s">
        <v>4351</v>
      </c>
      <c r="AZ1271" s="6" t="s">
        <v>168</v>
      </c>
      <c r="BA1271" s="6"/>
      <c r="BB1271" s="6" t="s">
        <v>168</v>
      </c>
      <c r="BC1271" s="6"/>
    </row>
    <row r="1272" spans="32:55">
      <c r="AF1272">
        <f t="shared" si="62"/>
        <v>0</v>
      </c>
      <c r="AG1272" t="str">
        <f t="shared" si="63"/>
        <v>CH₂OHCOOH (aq)</v>
      </c>
      <c r="AH1272" t="s">
        <v>4348</v>
      </c>
      <c r="AI1272" t="s">
        <v>4349</v>
      </c>
      <c r="AJ1272" t="s">
        <v>4349</v>
      </c>
      <c r="AL1272" t="s">
        <v>4350</v>
      </c>
      <c r="AS1272" t="s">
        <v>48</v>
      </c>
      <c r="AX1272" s="6">
        <v>76.05</v>
      </c>
      <c r="AY1272" s="6" t="s">
        <v>4352</v>
      </c>
      <c r="AZ1272" s="6" t="s">
        <v>168</v>
      </c>
      <c r="BA1272" s="6"/>
      <c r="BB1272" s="6" t="s">
        <v>168</v>
      </c>
      <c r="BC1272" s="6"/>
    </row>
    <row r="1273" spans="32:55">
      <c r="AF1273">
        <f t="shared" si="62"/>
        <v>0</v>
      </c>
      <c r="AG1273" t="str">
        <f t="shared" si="63"/>
        <v>CH₂OHCOO⁻ (aq)</v>
      </c>
      <c r="AH1273" t="s">
        <v>4353</v>
      </c>
      <c r="AI1273" t="s">
        <v>4354</v>
      </c>
      <c r="AJ1273" t="s">
        <v>4354</v>
      </c>
      <c r="AL1273" t="s">
        <v>4355</v>
      </c>
      <c r="AS1273" t="s">
        <v>48</v>
      </c>
      <c r="AX1273" s="6">
        <v>75.040000000000006</v>
      </c>
      <c r="AY1273" s="6" t="s">
        <v>4356</v>
      </c>
      <c r="AZ1273" s="6" t="s">
        <v>168</v>
      </c>
      <c r="BA1273" s="6"/>
      <c r="BB1273" s="6" t="s">
        <v>168</v>
      </c>
      <c r="BC1273" s="6"/>
    </row>
    <row r="1274" spans="32:55">
      <c r="AF1274">
        <f t="shared" si="62"/>
        <v>0</v>
      </c>
      <c r="AG1274" t="str">
        <f t="shared" si="63"/>
        <v>CH₂FCOOH (s)</v>
      </c>
      <c r="AH1274" t="s">
        <v>4357</v>
      </c>
      <c r="AI1274" t="s">
        <v>4358</v>
      </c>
      <c r="AJ1274" t="s">
        <v>4358</v>
      </c>
      <c r="AL1274" t="s">
        <v>4359</v>
      </c>
      <c r="AS1274" t="s">
        <v>160</v>
      </c>
      <c r="AX1274" s="6">
        <v>78.040000000000006</v>
      </c>
      <c r="AY1274" s="6" t="s">
        <v>4360</v>
      </c>
      <c r="AZ1274" s="6" t="s">
        <v>168</v>
      </c>
      <c r="BA1274" s="6"/>
      <c r="BB1274" s="6" t="s">
        <v>168</v>
      </c>
      <c r="BC1274" s="6"/>
    </row>
    <row r="1275" spans="32:55">
      <c r="AF1275">
        <f t="shared" si="62"/>
        <v>0</v>
      </c>
      <c r="AG1275" t="str">
        <f t="shared" si="63"/>
        <v>CH₃COCOOH (aq)</v>
      </c>
      <c r="AH1275" t="s">
        <v>4361</v>
      </c>
      <c r="AI1275" t="s">
        <v>4362</v>
      </c>
      <c r="AJ1275" t="s">
        <v>4362</v>
      </c>
      <c r="AK1275" t="s">
        <v>4363</v>
      </c>
      <c r="AL1275" t="s">
        <v>4364</v>
      </c>
      <c r="AS1275" t="s">
        <v>48</v>
      </c>
      <c r="AX1275" s="6">
        <v>88.06</v>
      </c>
      <c r="AY1275" s="6" t="s">
        <v>4365</v>
      </c>
      <c r="AZ1275" s="6">
        <v>180</v>
      </c>
      <c r="BA1275" s="6"/>
      <c r="BB1275" s="6">
        <v>486.6</v>
      </c>
    </row>
    <row r="1276" spans="32:55">
      <c r="AF1276">
        <f t="shared" si="62"/>
        <v>0</v>
      </c>
      <c r="AG1276" t="str">
        <f t="shared" si="63"/>
        <v>CH₃COCOO⁻ (aq)</v>
      </c>
      <c r="AH1276" t="s">
        <v>4366</v>
      </c>
      <c r="AI1276" t="s">
        <v>4367</v>
      </c>
      <c r="AJ1276" t="s">
        <v>4367</v>
      </c>
      <c r="AL1276" t="s">
        <v>4368</v>
      </c>
      <c r="AS1276" t="s">
        <v>48</v>
      </c>
      <c r="AX1276" s="6">
        <v>87.06</v>
      </c>
      <c r="AY1276" s="6" t="s">
        <v>4369</v>
      </c>
      <c r="AZ1276" s="6">
        <v>172</v>
      </c>
      <c r="BA1276" s="6"/>
      <c r="BB1276" s="6">
        <v>-472.37</v>
      </c>
    </row>
    <row r="1277" spans="32:55">
      <c r="AF1277">
        <f t="shared" si="62"/>
        <v>0</v>
      </c>
      <c r="AG1277" t="str">
        <f t="shared" si="63"/>
        <v>CH₃(CH₂)₂COOH (l)</v>
      </c>
      <c r="AH1277" t="s">
        <v>4370</v>
      </c>
      <c r="AI1277" t="s">
        <v>4371</v>
      </c>
      <c r="AJ1277" t="s">
        <v>4372</v>
      </c>
      <c r="AK1277" t="s">
        <v>4373</v>
      </c>
      <c r="AL1277" t="s">
        <v>4374</v>
      </c>
      <c r="AS1277" t="s">
        <v>239</v>
      </c>
      <c r="AX1277" s="6">
        <v>88.12</v>
      </c>
      <c r="AY1277" s="6" t="s">
        <v>4375</v>
      </c>
      <c r="AZ1277" s="6">
        <v>226.35</v>
      </c>
      <c r="BA1277" s="6"/>
      <c r="BB1277" s="6">
        <v>-379.07</v>
      </c>
    </row>
    <row r="1278" spans="32:55">
      <c r="AF1278">
        <f t="shared" si="62"/>
        <v>0</v>
      </c>
      <c r="AG1278" t="str">
        <f t="shared" si="63"/>
        <v>CH₃(CH₂)₂COOH (aq)</v>
      </c>
      <c r="AH1278" t="s">
        <v>4370</v>
      </c>
      <c r="AI1278" t="s">
        <v>4371</v>
      </c>
      <c r="AJ1278" t="s">
        <v>4372</v>
      </c>
      <c r="AL1278" t="s">
        <v>4374</v>
      </c>
      <c r="AS1278" t="s">
        <v>48</v>
      </c>
      <c r="AX1278" s="6">
        <v>88.12</v>
      </c>
      <c r="AY1278" s="6" t="s">
        <v>4376</v>
      </c>
      <c r="AZ1278" s="6">
        <v>303.76</v>
      </c>
      <c r="BA1278" s="6"/>
      <c r="BB1278" s="6">
        <v>-399.57</v>
      </c>
    </row>
    <row r="1279" spans="32:55">
      <c r="AF1279">
        <f t="shared" si="62"/>
        <v>0</v>
      </c>
      <c r="AG1279" t="str">
        <f t="shared" si="63"/>
        <v>CH₃(CH₂)₂COO⁻ (aq)</v>
      </c>
      <c r="AH1279" t="s">
        <v>4377</v>
      </c>
      <c r="AI1279" t="s">
        <v>4378</v>
      </c>
      <c r="AJ1279" t="s">
        <v>4379</v>
      </c>
      <c r="AK1279" t="s">
        <v>4380</v>
      </c>
      <c r="AL1279" t="s">
        <v>4381</v>
      </c>
      <c r="AS1279" t="s">
        <v>48</v>
      </c>
      <c r="AX1279" s="6">
        <v>87.11</v>
      </c>
      <c r="AY1279" s="6" t="s">
        <v>4382</v>
      </c>
      <c r="AZ1279" s="6">
        <v>201.67</v>
      </c>
      <c r="BA1279" s="6"/>
      <c r="BB1279" s="6">
        <v>-372.04</v>
      </c>
    </row>
    <row r="1280" spans="32:55">
      <c r="AF1280">
        <f t="shared" si="62"/>
        <v>0</v>
      </c>
      <c r="AG1280" t="str">
        <f t="shared" si="63"/>
        <v/>
      </c>
      <c r="AH1280" t="s">
        <v>4383</v>
      </c>
      <c r="AI1280" t="s">
        <v>4384</v>
      </c>
      <c r="AJ1280" t="s">
        <v>4385</v>
      </c>
      <c r="AK1280" t="s">
        <v>4386</v>
      </c>
      <c r="AL1280" t="s">
        <v>4387</v>
      </c>
      <c r="AS1280" t="s">
        <v>220</v>
      </c>
      <c r="AX1280" s="6">
        <v>88.12</v>
      </c>
      <c r="AY1280" s="6" t="s">
        <v>168</v>
      </c>
      <c r="AZ1280" s="6" t="s">
        <v>168</v>
      </c>
      <c r="BA1280" s="6"/>
      <c r="BB1280" s="6" t="s">
        <v>168</v>
      </c>
      <c r="BC1280" s="6"/>
    </row>
    <row r="1281" spans="32:55">
      <c r="AF1281">
        <f t="shared" si="62"/>
        <v>0</v>
      </c>
      <c r="AG1281" t="str">
        <f t="shared" si="63"/>
        <v>(COOH)₂ (s)</v>
      </c>
      <c r="AH1281" t="s">
        <v>4388</v>
      </c>
      <c r="AI1281" t="s">
        <v>4389</v>
      </c>
      <c r="AJ1281" t="s">
        <v>4390</v>
      </c>
      <c r="AK1281" t="s">
        <v>4391</v>
      </c>
      <c r="AL1281" t="s">
        <v>4392</v>
      </c>
      <c r="AS1281" t="s">
        <v>160</v>
      </c>
      <c r="AX1281" s="6">
        <v>90.04</v>
      </c>
      <c r="AY1281" s="6" t="s">
        <v>4393</v>
      </c>
      <c r="AZ1281" s="6">
        <v>120.1</v>
      </c>
      <c r="BA1281" s="6"/>
      <c r="BB1281" s="6">
        <v>-697.89</v>
      </c>
    </row>
    <row r="1282" spans="32:55">
      <c r="AF1282">
        <f t="shared" si="62"/>
        <v>0</v>
      </c>
      <c r="AG1282" t="str">
        <f t="shared" si="63"/>
        <v>(COOH)₂ (aq)</v>
      </c>
      <c r="AH1282" t="s">
        <v>4388</v>
      </c>
      <c r="AI1282" t="s">
        <v>4389</v>
      </c>
      <c r="AJ1282" t="s">
        <v>4390</v>
      </c>
      <c r="AL1282" t="s">
        <v>4392</v>
      </c>
      <c r="AS1282" t="s">
        <v>48</v>
      </c>
      <c r="AX1282" s="6">
        <v>90.04</v>
      </c>
      <c r="AY1282" s="6" t="s">
        <v>4394</v>
      </c>
      <c r="AZ1282" s="6">
        <v>45.6</v>
      </c>
      <c r="BA1282" s="6"/>
      <c r="BB1282" s="6">
        <v>-674.04</v>
      </c>
    </row>
    <row r="1283" spans="32:55">
      <c r="AF1283">
        <f t="shared" ref="AF1283:AF1346" si="64">IF(OR(AG1283="",COUNTIF(AG:AG, AG1283) = 1),0, "1")</f>
        <v>0</v>
      </c>
      <c r="AG1283" t="str">
        <f t="shared" ref="AG1283:AG1346" si="65">IF(AS1283 &lt;&gt; "",AH1283&amp;" ("&amp;AS1283 &amp;")","")</f>
        <v>CH₃CHOHCOOH (l)</v>
      </c>
      <c r="AH1283" t="s">
        <v>4395</v>
      </c>
      <c r="AI1283" t="s">
        <v>4396</v>
      </c>
      <c r="AJ1283" t="s">
        <v>4396</v>
      </c>
      <c r="AK1283" t="s">
        <v>4397</v>
      </c>
      <c r="AL1283" t="s">
        <v>4398</v>
      </c>
      <c r="AS1283" t="s">
        <v>239</v>
      </c>
      <c r="AX1283" s="6">
        <v>90.08</v>
      </c>
      <c r="AY1283" s="6" t="s">
        <v>4399</v>
      </c>
      <c r="AZ1283" s="6">
        <v>143.5</v>
      </c>
      <c r="BA1283" s="6"/>
      <c r="BB1283" s="6" t="s">
        <v>168</v>
      </c>
      <c r="BC1283" s="6"/>
    </row>
    <row r="1284" spans="32:55">
      <c r="AF1284" t="str">
        <f t="shared" si="64"/>
        <v>1</v>
      </c>
      <c r="AG1284" t="str">
        <f t="shared" si="65"/>
        <v>CH₃CHOHCOOH (s)</v>
      </c>
      <c r="AH1284" t="s">
        <v>4395</v>
      </c>
      <c r="AI1284" t="s">
        <v>4396</v>
      </c>
      <c r="AJ1284" t="s">
        <v>4396</v>
      </c>
      <c r="AL1284" t="s">
        <v>4398</v>
      </c>
      <c r="AS1284" t="s">
        <v>160</v>
      </c>
      <c r="AX1284" s="6">
        <v>90.08</v>
      </c>
      <c r="AY1284" s="6" t="s">
        <v>4400</v>
      </c>
      <c r="AZ1284" s="6">
        <v>192.05</v>
      </c>
      <c r="BA1284" s="6"/>
      <c r="BB1284" s="6">
        <v>-518.79999999999995</v>
      </c>
    </row>
    <row r="1285" spans="32:55">
      <c r="AF1285" t="str">
        <f t="shared" si="64"/>
        <v>1</v>
      </c>
      <c r="AG1285" t="str">
        <f t="shared" si="65"/>
        <v>CH₃CHOHCOOH (s)</v>
      </c>
      <c r="AH1285" t="s">
        <v>4395</v>
      </c>
      <c r="AI1285" t="s">
        <v>4396</v>
      </c>
      <c r="AJ1285" t="s">
        <v>4396</v>
      </c>
      <c r="AL1285" t="s">
        <v>4401</v>
      </c>
      <c r="AS1285" t="s">
        <v>160</v>
      </c>
      <c r="AX1285" s="6">
        <v>90.08</v>
      </c>
      <c r="AY1285" s="6" t="s">
        <v>4402</v>
      </c>
      <c r="AZ1285" s="6">
        <v>143.51</v>
      </c>
      <c r="BA1285" s="6"/>
      <c r="BB1285" s="6">
        <v>-523.25</v>
      </c>
    </row>
    <row r="1286" spans="32:55">
      <c r="AF1286">
        <f t="shared" si="64"/>
        <v>0</v>
      </c>
      <c r="AG1286" t="str">
        <f t="shared" si="65"/>
        <v>CH₃CHOHCOOH (aq)</v>
      </c>
      <c r="AH1286" t="s">
        <v>4395</v>
      </c>
      <c r="AI1286" t="s">
        <v>4396</v>
      </c>
      <c r="AJ1286" t="s">
        <v>4396</v>
      </c>
      <c r="AL1286" t="s">
        <v>4401</v>
      </c>
      <c r="AS1286" t="s">
        <v>48</v>
      </c>
      <c r="AX1286" s="6">
        <v>90.08</v>
      </c>
      <c r="AY1286" s="6" t="s">
        <v>4403</v>
      </c>
      <c r="AZ1286" s="6">
        <v>221.75</v>
      </c>
      <c r="BA1286" s="6"/>
      <c r="BB1286" s="6">
        <v>-538.77</v>
      </c>
    </row>
    <row r="1287" spans="32:55">
      <c r="AF1287">
        <f t="shared" si="64"/>
        <v>0</v>
      </c>
      <c r="AG1287" t="str">
        <f t="shared" si="65"/>
        <v>CH₃CHOHCOO- (aq)</v>
      </c>
      <c r="AH1287" t="s">
        <v>4404</v>
      </c>
      <c r="AI1287" t="s">
        <v>4405</v>
      </c>
      <c r="AJ1287" t="s">
        <v>4405</v>
      </c>
      <c r="AL1287" t="s">
        <v>4406</v>
      </c>
      <c r="AS1287" t="s">
        <v>48</v>
      </c>
      <c r="AX1287" s="6">
        <v>89.07</v>
      </c>
      <c r="AY1287" s="6" t="s">
        <v>4407</v>
      </c>
      <c r="AZ1287" s="6">
        <v>146.44</v>
      </c>
      <c r="BA1287" s="6"/>
      <c r="BB1287" s="6">
        <v>-516.72</v>
      </c>
    </row>
    <row r="1288" spans="32:55">
      <c r="AF1288">
        <f t="shared" si="64"/>
        <v>0</v>
      </c>
      <c r="AG1288" t="str">
        <f t="shared" si="65"/>
        <v>CH₂ClCOOH (s)</v>
      </c>
      <c r="AH1288" t="s">
        <v>4408</v>
      </c>
      <c r="AI1288" t="s">
        <v>4409</v>
      </c>
      <c r="AJ1288" t="s">
        <v>4409</v>
      </c>
      <c r="AL1288" t="s">
        <v>4410</v>
      </c>
      <c r="AS1288" t="s">
        <v>160</v>
      </c>
      <c r="AX1288" s="6">
        <v>94.5</v>
      </c>
      <c r="AY1288" s="6" t="s">
        <v>4411</v>
      </c>
      <c r="AZ1288" s="6" t="s">
        <v>168</v>
      </c>
      <c r="BA1288" s="6"/>
      <c r="BB1288" s="6" t="s">
        <v>168</v>
      </c>
      <c r="BC1288" s="6"/>
    </row>
    <row r="1289" spans="32:55">
      <c r="AF1289">
        <f t="shared" si="64"/>
        <v>0</v>
      </c>
      <c r="AG1289" t="str">
        <f t="shared" si="65"/>
        <v>CH₃(CH₂)₃COOH (l)</v>
      </c>
      <c r="AH1289" t="s">
        <v>4412</v>
      </c>
      <c r="AI1289" t="s">
        <v>4413</v>
      </c>
      <c r="AJ1289" t="s">
        <v>4414</v>
      </c>
      <c r="AK1289" t="s">
        <v>4415</v>
      </c>
      <c r="AL1289" t="s">
        <v>4416</v>
      </c>
      <c r="AS1289" t="s">
        <v>239</v>
      </c>
      <c r="AX1289" s="6">
        <v>102.13</v>
      </c>
      <c r="AY1289" s="6" t="s">
        <v>4417</v>
      </c>
      <c r="AZ1289" s="6">
        <v>259.8</v>
      </c>
      <c r="BA1289" s="6"/>
      <c r="BB1289" s="6">
        <v>-372.79</v>
      </c>
    </row>
    <row r="1290" spans="32:55">
      <c r="AF1290">
        <f t="shared" si="64"/>
        <v>0</v>
      </c>
      <c r="AG1290" t="str">
        <f t="shared" si="65"/>
        <v>CH₃CH₂CH(CH₃)COOH (l)</v>
      </c>
      <c r="AH1290" t="s">
        <v>4418</v>
      </c>
      <c r="AI1290" t="s">
        <v>4419</v>
      </c>
      <c r="AJ1290" t="s">
        <v>4420</v>
      </c>
      <c r="AL1290" t="s">
        <v>4421</v>
      </c>
      <c r="AS1290" t="s">
        <v>239</v>
      </c>
      <c r="AX1290" s="6">
        <v>102.13</v>
      </c>
      <c r="AY1290" s="6" t="s">
        <v>4422</v>
      </c>
      <c r="AZ1290" s="6" t="s">
        <v>168</v>
      </c>
      <c r="BA1290" s="6"/>
      <c r="BB1290" s="6" t="s">
        <v>168</v>
      </c>
      <c r="BC1290" s="6"/>
    </row>
    <row r="1291" spans="32:55">
      <c r="AF1291">
        <f t="shared" si="64"/>
        <v>0</v>
      </c>
      <c r="AG1291" t="str">
        <f t="shared" si="65"/>
        <v>(CH₃)₂CHCH₂COOH (l)</v>
      </c>
      <c r="AH1291" t="s">
        <v>4423</v>
      </c>
      <c r="AI1291" t="s">
        <v>4424</v>
      </c>
      <c r="AJ1291" t="s">
        <v>4425</v>
      </c>
      <c r="AL1291" t="s">
        <v>4426</v>
      </c>
      <c r="AS1291" t="s">
        <v>239</v>
      </c>
      <c r="AX1291" s="6">
        <v>102.13</v>
      </c>
      <c r="AY1291" s="6" t="s">
        <v>4427</v>
      </c>
      <c r="AZ1291" s="6" t="s">
        <v>168</v>
      </c>
      <c r="BA1291" s="6"/>
      <c r="BB1291" s="6" t="s">
        <v>168</v>
      </c>
      <c r="BC1291" s="6"/>
    </row>
    <row r="1292" spans="32:55">
      <c r="AF1292">
        <f t="shared" si="64"/>
        <v>0</v>
      </c>
      <c r="AG1292" t="str">
        <f t="shared" si="65"/>
        <v>C(CH₃)₃COOH (s)</v>
      </c>
      <c r="AH1292" t="s">
        <v>4428</v>
      </c>
      <c r="AI1292" t="s">
        <v>4429</v>
      </c>
      <c r="AJ1292" t="s">
        <v>4430</v>
      </c>
      <c r="AK1292" t="s">
        <v>4431</v>
      </c>
      <c r="AL1292" t="s">
        <v>4432</v>
      </c>
      <c r="AS1292" t="s">
        <v>160</v>
      </c>
      <c r="AX1292" s="6">
        <v>102.13</v>
      </c>
      <c r="AY1292" s="6" t="s">
        <v>4433</v>
      </c>
      <c r="AZ1292" s="6" t="s">
        <v>168</v>
      </c>
      <c r="BA1292" s="6"/>
      <c r="BB1292" s="6" t="s">
        <v>168</v>
      </c>
      <c r="BC1292" s="6"/>
    </row>
    <row r="1293" spans="32:55">
      <c r="AF1293">
        <f t="shared" si="64"/>
        <v>0</v>
      </c>
      <c r="AG1293" t="str">
        <f t="shared" si="65"/>
        <v>CH₂(COOH)₂ (s)</v>
      </c>
      <c r="AH1293" t="s">
        <v>4434</v>
      </c>
      <c r="AI1293" t="s">
        <v>4435</v>
      </c>
      <c r="AJ1293" t="s">
        <v>4436</v>
      </c>
      <c r="AL1293" t="s">
        <v>4437</v>
      </c>
      <c r="AS1293" t="s">
        <v>160</v>
      </c>
      <c r="AX1293" s="6">
        <v>104.6</v>
      </c>
      <c r="AY1293" s="6" t="s">
        <v>4438</v>
      </c>
      <c r="AZ1293" s="6" t="s">
        <v>168</v>
      </c>
      <c r="BA1293" s="6"/>
      <c r="BB1293" s="6" t="s">
        <v>168</v>
      </c>
      <c r="BC1293" s="6"/>
    </row>
    <row r="1294" spans="32:55">
      <c r="AF1294">
        <f t="shared" si="64"/>
        <v>0</v>
      </c>
      <c r="AG1294" t="str">
        <f t="shared" si="65"/>
        <v>CH₃CHClCOOH (l)</v>
      </c>
      <c r="AH1294" t="s">
        <v>4439</v>
      </c>
      <c r="AI1294" t="s">
        <v>4440</v>
      </c>
      <c r="AJ1294" t="s">
        <v>4440</v>
      </c>
      <c r="AL1294" t="s">
        <v>4441</v>
      </c>
      <c r="AS1294" t="s">
        <v>239</v>
      </c>
      <c r="AX1294" s="6">
        <v>108.52</v>
      </c>
      <c r="AY1294" s="6" t="s">
        <v>4066</v>
      </c>
      <c r="AZ1294" s="6" t="s">
        <v>168</v>
      </c>
      <c r="BA1294" s="6"/>
      <c r="BB1294" s="6" t="s">
        <v>168</v>
      </c>
      <c r="BC1294" s="6"/>
    </row>
    <row r="1295" spans="32:55">
      <c r="AF1295">
        <f t="shared" si="64"/>
        <v>0</v>
      </c>
      <c r="AG1295" t="str">
        <f t="shared" si="65"/>
        <v>CH₂ClCH₂COOH (s)</v>
      </c>
      <c r="AH1295" t="s">
        <v>4442</v>
      </c>
      <c r="AI1295" t="s">
        <v>4443</v>
      </c>
      <c r="AJ1295" t="s">
        <v>4443</v>
      </c>
      <c r="AL1295" t="s">
        <v>4444</v>
      </c>
      <c r="AS1295" t="s">
        <v>160</v>
      </c>
      <c r="AX1295" s="6">
        <v>108.52</v>
      </c>
      <c r="AY1295" s="6" t="s">
        <v>4445</v>
      </c>
      <c r="AZ1295" s="6" t="s">
        <v>168</v>
      </c>
      <c r="BA1295" s="6"/>
      <c r="BB1295" s="6" t="s">
        <v>168</v>
      </c>
      <c r="BC1295" s="6"/>
    </row>
    <row r="1296" spans="32:55">
      <c r="AF1296" t="str">
        <f t="shared" si="64"/>
        <v>1</v>
      </c>
      <c r="AG1296" t="str">
        <f t="shared" si="65"/>
        <v>HOOCCH=CHCOOH (s)</v>
      </c>
      <c r="AH1296" t="s">
        <v>4446</v>
      </c>
      <c r="AI1296" t="s">
        <v>4446</v>
      </c>
      <c r="AJ1296" t="s">
        <v>4446</v>
      </c>
      <c r="AK1296" t="s">
        <v>4447</v>
      </c>
      <c r="AL1296" t="s">
        <v>4448</v>
      </c>
      <c r="AS1296" t="s">
        <v>160</v>
      </c>
      <c r="AX1296" s="6">
        <v>116.07</v>
      </c>
      <c r="AY1296" s="6" t="s">
        <v>4449</v>
      </c>
      <c r="AZ1296" s="6">
        <v>168</v>
      </c>
      <c r="BA1296" s="6"/>
      <c r="BB1296" s="6">
        <v>-653.25</v>
      </c>
    </row>
    <row r="1297" spans="32:55">
      <c r="AF1297" t="str">
        <f t="shared" si="64"/>
        <v>1</v>
      </c>
      <c r="AG1297" t="str">
        <f t="shared" si="65"/>
        <v>HOOCCH=CHCOOH (aq)</v>
      </c>
      <c r="AH1297" t="s">
        <v>4446</v>
      </c>
      <c r="AI1297" t="s">
        <v>4446</v>
      </c>
      <c r="AJ1297" t="s">
        <v>4446</v>
      </c>
      <c r="AL1297" t="s">
        <v>4448</v>
      </c>
      <c r="AS1297" t="s">
        <v>48</v>
      </c>
      <c r="AX1297" s="6">
        <v>116.07</v>
      </c>
      <c r="AY1297" s="6" t="s">
        <v>4450</v>
      </c>
      <c r="AZ1297" s="6">
        <v>261.08</v>
      </c>
      <c r="BA1297" s="6"/>
      <c r="BB1297" s="6">
        <v>645.79999999999995</v>
      </c>
    </row>
    <row r="1298" spans="32:55">
      <c r="AF1298">
        <f t="shared" si="64"/>
        <v>0</v>
      </c>
      <c r="AG1298" t="str">
        <f t="shared" si="65"/>
        <v>HOOCCH=CHCOO⁻ (aq)</v>
      </c>
      <c r="AH1298" t="s">
        <v>4451</v>
      </c>
      <c r="AI1298" t="s">
        <v>4452</v>
      </c>
      <c r="AJ1298" t="s">
        <v>4452</v>
      </c>
      <c r="AL1298" t="s">
        <v>4453</v>
      </c>
      <c r="AS1298" t="s">
        <v>48</v>
      </c>
      <c r="AX1298" s="6">
        <v>115.07</v>
      </c>
      <c r="AY1298" s="6" t="s">
        <v>4454</v>
      </c>
      <c r="AZ1298" s="6">
        <v>203.34</v>
      </c>
      <c r="BA1298" s="6"/>
      <c r="BB1298" s="6">
        <v>-628.14</v>
      </c>
    </row>
    <row r="1299" spans="32:55">
      <c r="AF1299">
        <f t="shared" si="64"/>
        <v>0</v>
      </c>
      <c r="AG1299" t="str">
        <f t="shared" si="65"/>
        <v>⁻OOCCH=CHCOO⁻ (aq)</v>
      </c>
      <c r="AH1299" t="s">
        <v>4455</v>
      </c>
      <c r="AI1299" t="s">
        <v>4456</v>
      </c>
      <c r="AJ1299" t="s">
        <v>4456</v>
      </c>
      <c r="AK1299" t="s">
        <v>4457</v>
      </c>
      <c r="AL1299" t="s">
        <v>4458</v>
      </c>
      <c r="AS1299" t="s">
        <v>48</v>
      </c>
      <c r="AX1299" s="6">
        <v>114.06</v>
      </c>
      <c r="AY1299" s="6" t="s">
        <v>4459</v>
      </c>
      <c r="AZ1299" s="6">
        <v>105.44</v>
      </c>
      <c r="BA1299" s="6"/>
      <c r="BB1299" s="6">
        <v>-601.87</v>
      </c>
    </row>
    <row r="1300" spans="32:55">
      <c r="AF1300" t="str">
        <f t="shared" si="64"/>
        <v>1</v>
      </c>
      <c r="AG1300" t="str">
        <f t="shared" si="65"/>
        <v>HOOCCH=CHCOOH (s)</v>
      </c>
      <c r="AH1300" t="s">
        <v>4446</v>
      </c>
      <c r="AI1300" t="s">
        <v>4446</v>
      </c>
      <c r="AJ1300" t="s">
        <v>4446</v>
      </c>
      <c r="AK1300" t="s">
        <v>4460</v>
      </c>
      <c r="AL1300" t="s">
        <v>4461</v>
      </c>
      <c r="AS1300" t="s">
        <v>160</v>
      </c>
      <c r="AX1300" s="6">
        <v>116.07</v>
      </c>
      <c r="AY1300" s="6" t="s">
        <v>4462</v>
      </c>
      <c r="AZ1300" s="6">
        <v>160.80000000000001</v>
      </c>
      <c r="BA1300" s="6"/>
      <c r="BB1300" s="6" t="s">
        <v>168</v>
      </c>
      <c r="BC1300" s="6"/>
    </row>
    <row r="1301" spans="32:55">
      <c r="AF1301" t="str">
        <f t="shared" si="64"/>
        <v>1</v>
      </c>
      <c r="AG1301" t="str">
        <f t="shared" si="65"/>
        <v>HOOCCH=CHCOOH (aq)</v>
      </c>
      <c r="AH1301" t="s">
        <v>4446</v>
      </c>
      <c r="AI1301" t="s">
        <v>4446</v>
      </c>
      <c r="AJ1301" t="s">
        <v>4446</v>
      </c>
      <c r="AL1301" t="s">
        <v>4461</v>
      </c>
      <c r="AS1301" t="s">
        <v>48</v>
      </c>
      <c r="AX1301" s="6">
        <v>116.07</v>
      </c>
      <c r="AY1301" s="6" t="s">
        <v>4463</v>
      </c>
      <c r="AZ1301" s="6">
        <v>159.4</v>
      </c>
      <c r="BA1301" s="6"/>
      <c r="BB1301" s="6">
        <v>-625.09</v>
      </c>
    </row>
    <row r="1302" spans="32:55">
      <c r="AF1302">
        <f t="shared" si="64"/>
        <v>0</v>
      </c>
      <c r="AG1302" t="str">
        <f t="shared" si="65"/>
        <v>CH₃(CH₂)₄COOH (l)</v>
      </c>
      <c r="AH1302" t="s">
        <v>4464</v>
      </c>
      <c r="AI1302" t="s">
        <v>4465</v>
      </c>
      <c r="AJ1302" t="s">
        <v>4466</v>
      </c>
      <c r="AK1302" t="s">
        <v>4467</v>
      </c>
      <c r="AL1302" t="s">
        <v>4468</v>
      </c>
      <c r="AS1302" t="s">
        <v>239</v>
      </c>
      <c r="AX1302" s="6">
        <v>116.16</v>
      </c>
      <c r="AY1302" s="6" t="s">
        <v>4469</v>
      </c>
      <c r="AZ1302" s="6" t="s">
        <v>168</v>
      </c>
      <c r="BA1302" s="6"/>
      <c r="BB1302" s="6" t="s">
        <v>168</v>
      </c>
      <c r="BC1302" s="6"/>
    </row>
    <row r="1303" spans="32:55">
      <c r="AF1303">
        <f t="shared" si="64"/>
        <v>0</v>
      </c>
      <c r="AG1303" t="str">
        <f t="shared" si="65"/>
        <v>(CH₂COOH)₂ (s)</v>
      </c>
      <c r="AH1303" t="s">
        <v>4470</v>
      </c>
      <c r="AI1303" t="s">
        <v>4471</v>
      </c>
      <c r="AJ1303" t="s">
        <v>4436</v>
      </c>
      <c r="AK1303" t="s">
        <v>4472</v>
      </c>
      <c r="AL1303" t="s">
        <v>4473</v>
      </c>
      <c r="AS1303" t="s">
        <v>160</v>
      </c>
      <c r="AX1303" s="6">
        <v>118.09</v>
      </c>
      <c r="AY1303" s="6" t="s">
        <v>4474</v>
      </c>
      <c r="AZ1303" s="6">
        <v>167.3</v>
      </c>
      <c r="BA1303" s="6"/>
      <c r="BB1303" s="6">
        <v>-747.35</v>
      </c>
    </row>
    <row r="1304" spans="32:55">
      <c r="AF1304">
        <f t="shared" si="64"/>
        <v>0</v>
      </c>
      <c r="AG1304" t="str">
        <f t="shared" si="65"/>
        <v>(CH₂COOH)₂ (aq)</v>
      </c>
      <c r="AH1304" t="s">
        <v>4470</v>
      </c>
      <c r="AI1304" t="s">
        <v>4471</v>
      </c>
      <c r="AJ1304" t="s">
        <v>4436</v>
      </c>
      <c r="AL1304" t="s">
        <v>4473</v>
      </c>
      <c r="AS1304" t="s">
        <v>48</v>
      </c>
      <c r="AX1304" s="6">
        <v>118.09</v>
      </c>
      <c r="AY1304" s="6" t="s">
        <v>4475</v>
      </c>
      <c r="AZ1304" s="6">
        <v>230</v>
      </c>
      <c r="BA1304" s="6"/>
      <c r="BB1304" s="6">
        <v>-746.63</v>
      </c>
    </row>
    <row r="1305" spans="32:55">
      <c r="AF1305">
        <f t="shared" si="64"/>
        <v>0</v>
      </c>
      <c r="AG1305" t="str">
        <f t="shared" si="65"/>
        <v>HOOC(CH₂)₂COO⁻ (aq)</v>
      </c>
      <c r="AH1305" t="s">
        <v>4476</v>
      </c>
      <c r="AI1305" t="s">
        <v>4477</v>
      </c>
      <c r="AJ1305" t="s">
        <v>4478</v>
      </c>
      <c r="AL1305" t="s">
        <v>4479</v>
      </c>
      <c r="AS1305" t="s">
        <v>48</v>
      </c>
      <c r="AX1305" s="6">
        <v>117.08</v>
      </c>
      <c r="AY1305" s="6" t="s">
        <v>4480</v>
      </c>
      <c r="AZ1305" s="6">
        <v>200</v>
      </c>
      <c r="BA1305" s="6"/>
      <c r="BB1305" s="6">
        <v>-722.62</v>
      </c>
    </row>
    <row r="1306" spans="32:55">
      <c r="AF1306">
        <f t="shared" si="64"/>
        <v>0</v>
      </c>
      <c r="AG1306" t="str">
        <f t="shared" si="65"/>
        <v>⁻OOH(CH₂)₂COO⁻ (aq)</v>
      </c>
      <c r="AH1306" t="s">
        <v>4481</v>
      </c>
      <c r="AI1306" t="s">
        <v>4482</v>
      </c>
      <c r="AJ1306" t="s">
        <v>4483</v>
      </c>
      <c r="AK1306" t="s">
        <v>4484</v>
      </c>
      <c r="AL1306" t="s">
        <v>4485</v>
      </c>
      <c r="AS1306" t="s">
        <v>48</v>
      </c>
      <c r="AX1306" s="6">
        <v>116.07</v>
      </c>
      <c r="AY1306" s="6" t="s">
        <v>4486</v>
      </c>
      <c r="AZ1306" s="6" t="s">
        <v>4487</v>
      </c>
      <c r="BA1306" s="6"/>
      <c r="BB1306" s="6">
        <v>-690.44</v>
      </c>
    </row>
    <row r="1307" spans="32:55">
      <c r="AF1307">
        <f t="shared" si="64"/>
        <v>0</v>
      </c>
      <c r="AG1307" t="str">
        <f t="shared" si="65"/>
        <v/>
      </c>
      <c r="AH1307" t="s">
        <v>4488</v>
      </c>
      <c r="AI1307" t="s">
        <v>4489</v>
      </c>
      <c r="AJ1307" t="s">
        <v>4490</v>
      </c>
      <c r="AK1307" t="s">
        <v>4491</v>
      </c>
      <c r="AL1307" t="s">
        <v>4492</v>
      </c>
      <c r="AS1307" t="s">
        <v>220</v>
      </c>
      <c r="AX1307" s="6">
        <v>120.6</v>
      </c>
      <c r="AY1307" s="6" t="s">
        <v>168</v>
      </c>
      <c r="AZ1307" s="6" t="s">
        <v>168</v>
      </c>
      <c r="BA1307" s="6"/>
      <c r="BB1307" s="6" t="s">
        <v>168</v>
      </c>
      <c r="BC1307" s="6"/>
    </row>
    <row r="1308" spans="32:55">
      <c r="AF1308">
        <f t="shared" si="64"/>
        <v>0</v>
      </c>
      <c r="AG1308" t="str">
        <f t="shared" si="65"/>
        <v>C₆H₅COOH (s)</v>
      </c>
      <c r="AH1308" t="s">
        <v>4493</v>
      </c>
      <c r="AI1308" t="s">
        <v>4494</v>
      </c>
      <c r="AJ1308" t="s">
        <v>4494</v>
      </c>
      <c r="AL1308" t="s">
        <v>4495</v>
      </c>
      <c r="AS1308" t="s">
        <v>160</v>
      </c>
      <c r="AX1308" s="6">
        <v>122.13</v>
      </c>
      <c r="AY1308" s="6" t="s">
        <v>1838</v>
      </c>
      <c r="AZ1308" s="6">
        <v>167.6</v>
      </c>
      <c r="BA1308" s="6"/>
      <c r="BB1308" s="6">
        <v>-245.27</v>
      </c>
    </row>
    <row r="1309" spans="32:55">
      <c r="AF1309">
        <f t="shared" si="64"/>
        <v>0</v>
      </c>
      <c r="AG1309" t="str">
        <f t="shared" si="65"/>
        <v>CHCl₂COOH (l)</v>
      </c>
      <c r="AH1309" t="s">
        <v>4496</v>
      </c>
      <c r="AI1309" t="s">
        <v>4497</v>
      </c>
      <c r="AJ1309" t="s">
        <v>4497</v>
      </c>
      <c r="AL1309" t="s">
        <v>4498</v>
      </c>
      <c r="AS1309" t="s">
        <v>239</v>
      </c>
      <c r="AX1309" s="6">
        <v>128.94</v>
      </c>
      <c r="AY1309" s="6" t="s">
        <v>4499</v>
      </c>
      <c r="AZ1309" s="6" t="s">
        <v>168</v>
      </c>
      <c r="BA1309" s="6"/>
      <c r="BB1309" s="6" t="s">
        <v>168</v>
      </c>
      <c r="BC1309" s="6"/>
    </row>
    <row r="1310" spans="32:55">
      <c r="AF1310">
        <f t="shared" si="64"/>
        <v>0</v>
      </c>
      <c r="AG1310" t="str">
        <f t="shared" si="65"/>
        <v>HOOCCH₂COCOOH (aq)</v>
      </c>
      <c r="AH1310" t="s">
        <v>4500</v>
      </c>
      <c r="AI1310" t="s">
        <v>4501</v>
      </c>
      <c r="AJ1310" t="s">
        <v>4501</v>
      </c>
      <c r="AK1310" t="s">
        <v>4502</v>
      </c>
      <c r="AL1310" t="s">
        <v>4503</v>
      </c>
      <c r="AS1310" t="s">
        <v>48</v>
      </c>
      <c r="AX1310" s="6">
        <v>132.08000000000001</v>
      </c>
      <c r="AY1310" s="6" t="s">
        <v>4504</v>
      </c>
      <c r="AZ1310" s="6" t="s">
        <v>168</v>
      </c>
      <c r="BA1310" s="6"/>
      <c r="BB1310" s="6">
        <v>-832.62</v>
      </c>
    </row>
    <row r="1311" spans="32:55">
      <c r="AF1311">
        <f t="shared" si="64"/>
        <v>0</v>
      </c>
      <c r="AG1311" t="str">
        <f t="shared" si="65"/>
        <v>HOOCCH₂COCOO⁻ (aq)</v>
      </c>
      <c r="AH1311" t="s">
        <v>4505</v>
      </c>
      <c r="AI1311" t="s">
        <v>4506</v>
      </c>
      <c r="AJ1311" t="s">
        <v>4506</v>
      </c>
      <c r="AL1311" t="s">
        <v>4507</v>
      </c>
      <c r="AS1311" t="s">
        <v>48</v>
      </c>
      <c r="AX1311" s="6">
        <v>131.07</v>
      </c>
      <c r="AY1311" s="6" t="s">
        <v>168</v>
      </c>
      <c r="AZ1311" s="6" t="s">
        <v>168</v>
      </c>
      <c r="BA1311" s="6"/>
      <c r="BB1311" s="6">
        <v>-818.39</v>
      </c>
    </row>
    <row r="1312" spans="32:55">
      <c r="AF1312">
        <f t="shared" si="64"/>
        <v>0</v>
      </c>
      <c r="AG1312" t="str">
        <f t="shared" si="65"/>
        <v>⁻OOCCH₂COCOO⁻ (aq)</v>
      </c>
      <c r="AH1312" t="s">
        <v>4508</v>
      </c>
      <c r="AI1312" t="s">
        <v>4509</v>
      </c>
      <c r="AJ1312" t="s">
        <v>4509</v>
      </c>
      <c r="AL1312" t="s">
        <v>4510</v>
      </c>
      <c r="AS1312" t="s">
        <v>48</v>
      </c>
      <c r="AX1312" s="6">
        <v>130.06</v>
      </c>
      <c r="AY1312" s="6" t="s">
        <v>168</v>
      </c>
      <c r="AZ1312" s="6" t="s">
        <v>168</v>
      </c>
      <c r="BA1312" s="6"/>
      <c r="BB1312" s="6">
        <v>-793.29</v>
      </c>
    </row>
    <row r="1313" spans="32:55">
      <c r="AF1313">
        <f t="shared" si="64"/>
        <v>0</v>
      </c>
      <c r="AG1313" t="str">
        <f t="shared" si="65"/>
        <v>HOOCCH₂CHOHCOOH (aq)</v>
      </c>
      <c r="AH1313" t="s">
        <v>4511</v>
      </c>
      <c r="AI1313" t="s">
        <v>4512</v>
      </c>
      <c r="AJ1313" t="s">
        <v>4512</v>
      </c>
      <c r="AK1313" t="s">
        <v>4513</v>
      </c>
      <c r="AL1313" t="s">
        <v>4514</v>
      </c>
      <c r="AS1313" t="s">
        <v>48</v>
      </c>
      <c r="AX1313" s="6">
        <v>134.09</v>
      </c>
      <c r="AY1313" s="6" t="s">
        <v>4515</v>
      </c>
      <c r="AZ1313" s="6" t="s">
        <v>168</v>
      </c>
      <c r="BA1313" s="6"/>
      <c r="BB1313" s="6">
        <v>-891.61</v>
      </c>
    </row>
    <row r="1314" spans="32:55">
      <c r="AF1314">
        <f t="shared" si="64"/>
        <v>0</v>
      </c>
      <c r="AG1314" t="str">
        <f t="shared" si="65"/>
        <v>HOOCCH₂CHOHCOO⁻ (aq)</v>
      </c>
      <c r="AH1314" t="s">
        <v>4516</v>
      </c>
      <c r="AI1314" t="s">
        <v>4517</v>
      </c>
      <c r="AJ1314" t="s">
        <v>4517</v>
      </c>
      <c r="AK1314" t="s">
        <v>4518</v>
      </c>
      <c r="AL1314" t="s">
        <v>4519</v>
      </c>
      <c r="AS1314" t="s">
        <v>48</v>
      </c>
      <c r="AX1314" s="6" t="s">
        <v>168</v>
      </c>
      <c r="AY1314" s="6" t="s">
        <v>168</v>
      </c>
      <c r="AZ1314" s="6" t="s">
        <v>168</v>
      </c>
      <c r="BA1314" s="6"/>
      <c r="BB1314" s="6">
        <v>-871.95</v>
      </c>
    </row>
    <row r="1315" spans="32:55">
      <c r="AF1315">
        <f t="shared" si="64"/>
        <v>0</v>
      </c>
      <c r="AG1315" t="str">
        <f t="shared" si="65"/>
        <v>⁻OOCCH₂CHOHCOO⁻ (aq)</v>
      </c>
      <c r="AH1315" t="s">
        <v>4520</v>
      </c>
      <c r="AI1315" t="s">
        <v>4521</v>
      </c>
      <c r="AJ1315" t="s">
        <v>4521</v>
      </c>
      <c r="AL1315" t="s">
        <v>4522</v>
      </c>
      <c r="AS1315" t="s">
        <v>48</v>
      </c>
      <c r="AX1315" s="6" t="s">
        <v>168</v>
      </c>
      <c r="AY1315" s="6" t="s">
        <v>168</v>
      </c>
      <c r="AZ1315" s="6" t="s">
        <v>168</v>
      </c>
      <c r="BA1315" s="6"/>
      <c r="BB1315" s="6">
        <v>-842.66</v>
      </c>
    </row>
    <row r="1316" spans="32:55">
      <c r="AF1316">
        <f t="shared" si="64"/>
        <v>0</v>
      </c>
      <c r="AG1316" t="str">
        <f t="shared" si="65"/>
        <v>HO-C₆H₄-COOH (s)</v>
      </c>
      <c r="AH1316" t="s">
        <v>4523</v>
      </c>
      <c r="AI1316" t="s">
        <v>4524</v>
      </c>
      <c r="AJ1316" t="s">
        <v>4524</v>
      </c>
      <c r="AK1316" t="s">
        <v>4525</v>
      </c>
      <c r="AL1316" t="s">
        <v>4526</v>
      </c>
      <c r="AS1316" t="s">
        <v>160</v>
      </c>
      <c r="AX1316" s="6">
        <v>138.12</v>
      </c>
      <c r="AY1316" s="6" t="s">
        <v>4527</v>
      </c>
      <c r="AZ1316" s="6">
        <v>178.2</v>
      </c>
      <c r="BA1316" s="6"/>
      <c r="BB1316" s="6">
        <v>-418.11</v>
      </c>
    </row>
    <row r="1317" spans="32:55">
      <c r="AF1317">
        <f t="shared" si="64"/>
        <v>0</v>
      </c>
      <c r="AG1317" t="str">
        <f t="shared" si="65"/>
        <v>CH₂BrCOOH (g)</v>
      </c>
      <c r="AH1317" t="s">
        <v>4528</v>
      </c>
      <c r="AI1317" t="s">
        <v>4529</v>
      </c>
      <c r="AJ1317" t="s">
        <v>4529</v>
      </c>
      <c r="AL1317" t="s">
        <v>4530</v>
      </c>
      <c r="AS1317" t="s">
        <v>47</v>
      </c>
      <c r="AX1317" s="6">
        <v>138.94999999999999</v>
      </c>
      <c r="AY1317" s="6" t="s">
        <v>4531</v>
      </c>
      <c r="AZ1317" s="6">
        <v>337</v>
      </c>
      <c r="BA1317" s="6"/>
      <c r="BB1317" s="6">
        <v>-338.3</v>
      </c>
    </row>
    <row r="1318" spans="32:55">
      <c r="AF1318">
        <f t="shared" si="64"/>
        <v>0</v>
      </c>
      <c r="AG1318" t="str">
        <f t="shared" si="65"/>
        <v>CH₃(CH₂)₆COOH (l)</v>
      </c>
      <c r="AH1318" t="s">
        <v>4532</v>
      </c>
      <c r="AI1318" t="s">
        <v>4533</v>
      </c>
      <c r="AJ1318" t="s">
        <v>4534</v>
      </c>
      <c r="AK1318" t="s">
        <v>4535</v>
      </c>
      <c r="AL1318" t="s">
        <v>4536</v>
      </c>
      <c r="AS1318" t="s">
        <v>239</v>
      </c>
      <c r="AX1318" s="6">
        <v>144.21</v>
      </c>
      <c r="AY1318" s="6" t="s">
        <v>4537</v>
      </c>
      <c r="AZ1318" s="6" t="s">
        <v>168</v>
      </c>
      <c r="BA1318" s="6"/>
      <c r="BB1318" s="6" t="s">
        <v>168</v>
      </c>
      <c r="BC1318" s="6"/>
    </row>
    <row r="1319" spans="32:55">
      <c r="AF1319">
        <f t="shared" si="64"/>
        <v>0</v>
      </c>
      <c r="AG1319" t="str">
        <f t="shared" si="65"/>
        <v/>
      </c>
      <c r="AH1319" t="s">
        <v>4538</v>
      </c>
      <c r="AI1319" t="s">
        <v>4539</v>
      </c>
      <c r="AJ1319" t="s">
        <v>4540</v>
      </c>
      <c r="AK1319" t="s">
        <v>4541</v>
      </c>
      <c r="AL1319" t="s">
        <v>4542</v>
      </c>
      <c r="AS1319" t="s">
        <v>220</v>
      </c>
      <c r="AX1319" s="6">
        <v>146.1</v>
      </c>
      <c r="AY1319" s="6" t="s">
        <v>168</v>
      </c>
      <c r="AZ1319" s="6" t="s">
        <v>168</v>
      </c>
      <c r="BA1319" s="6"/>
      <c r="BB1319" s="6" t="s">
        <v>168</v>
      </c>
      <c r="BC1319" s="6"/>
    </row>
    <row r="1320" spans="32:55">
      <c r="AF1320">
        <f t="shared" si="64"/>
        <v>0</v>
      </c>
      <c r="AG1320" t="str">
        <f t="shared" si="65"/>
        <v>HOOC(CH₂)₄COOH (s)</v>
      </c>
      <c r="AH1320" t="s">
        <v>4543</v>
      </c>
      <c r="AI1320" t="s">
        <v>4544</v>
      </c>
      <c r="AJ1320" t="s">
        <v>4545</v>
      </c>
      <c r="AK1320" t="s">
        <v>4546</v>
      </c>
      <c r="AL1320" t="s">
        <v>4547</v>
      </c>
      <c r="AS1320" t="s">
        <v>160</v>
      </c>
      <c r="AX1320" s="6">
        <v>146.13999999999999</v>
      </c>
      <c r="AY1320" s="6" t="s">
        <v>4548</v>
      </c>
      <c r="AZ1320" s="6" t="s">
        <v>168</v>
      </c>
      <c r="BA1320" s="6"/>
      <c r="BB1320" s="6">
        <v>-741.28</v>
      </c>
    </row>
    <row r="1321" spans="32:55">
      <c r="AF1321" t="str">
        <f t="shared" si="64"/>
        <v>1</v>
      </c>
      <c r="AG1321" t="str">
        <f t="shared" si="65"/>
        <v>HOOCCH₂COCOOH (s)</v>
      </c>
      <c r="AH1321" t="s">
        <v>4500</v>
      </c>
      <c r="AI1321" t="s">
        <v>4501</v>
      </c>
      <c r="AJ1321" t="s">
        <v>4501</v>
      </c>
      <c r="AK1321" t="s">
        <v>4549</v>
      </c>
      <c r="AL1321" t="s">
        <v>4550</v>
      </c>
      <c r="AS1321" t="s">
        <v>160</v>
      </c>
      <c r="AX1321" s="6">
        <v>150.09</v>
      </c>
      <c r="AY1321" s="6" t="s">
        <v>4551</v>
      </c>
      <c r="AZ1321" s="6" t="s">
        <v>168</v>
      </c>
      <c r="BA1321" s="6"/>
      <c r="BB1321" s="6" t="s">
        <v>168</v>
      </c>
      <c r="BC1321" s="6"/>
    </row>
    <row r="1322" spans="32:55">
      <c r="AF1322" t="str">
        <f t="shared" si="64"/>
        <v>1</v>
      </c>
      <c r="AG1322" t="str">
        <f t="shared" si="65"/>
        <v>HOOCCH₂COCOOH (s)</v>
      </c>
      <c r="AH1322" t="s">
        <v>4500</v>
      </c>
      <c r="AI1322" t="s">
        <v>4501</v>
      </c>
      <c r="AJ1322" t="s">
        <v>4501</v>
      </c>
      <c r="AK1322" t="s">
        <v>4552</v>
      </c>
      <c r="AL1322" t="s">
        <v>4553</v>
      </c>
      <c r="AS1322" t="s">
        <v>160</v>
      </c>
      <c r="AX1322" s="6">
        <v>150.09</v>
      </c>
      <c r="AY1322" s="6" t="s">
        <v>4551</v>
      </c>
      <c r="AZ1322" s="6" t="s">
        <v>168</v>
      </c>
      <c r="BA1322" s="6"/>
      <c r="BB1322" s="6" t="s">
        <v>168</v>
      </c>
      <c r="BC1322" s="6"/>
    </row>
    <row r="1323" spans="32:55">
      <c r="AF1323" t="str">
        <f t="shared" si="64"/>
        <v>1</v>
      </c>
      <c r="AG1323" t="str">
        <f t="shared" si="65"/>
        <v>HOOCCH₂COCOOH (s)</v>
      </c>
      <c r="AH1323" t="s">
        <v>4500</v>
      </c>
      <c r="AI1323" t="s">
        <v>4501</v>
      </c>
      <c r="AJ1323" t="s">
        <v>4501</v>
      </c>
      <c r="AK1323" t="s">
        <v>4554</v>
      </c>
      <c r="AL1323" t="s">
        <v>4555</v>
      </c>
      <c r="AS1323" t="s">
        <v>160</v>
      </c>
      <c r="AX1323" s="6">
        <v>150.09</v>
      </c>
      <c r="AY1323" s="6" t="s">
        <v>4556</v>
      </c>
      <c r="AZ1323" s="6" t="s">
        <v>168</v>
      </c>
      <c r="BA1323" s="6"/>
      <c r="BB1323" s="6" t="s">
        <v>168</v>
      </c>
      <c r="BC1323" s="6"/>
    </row>
    <row r="1324" spans="32:55">
      <c r="AF1324">
        <f t="shared" si="64"/>
        <v>0</v>
      </c>
      <c r="AG1324" t="str">
        <f t="shared" si="65"/>
        <v>CCl₃COOH (l)</v>
      </c>
      <c r="AH1324" t="s">
        <v>4557</v>
      </c>
      <c r="AI1324" t="s">
        <v>4558</v>
      </c>
      <c r="AJ1324" t="s">
        <v>4558</v>
      </c>
      <c r="AL1324" t="s">
        <v>4559</v>
      </c>
      <c r="AS1324" t="s">
        <v>239</v>
      </c>
      <c r="AX1324" s="6">
        <v>163.38999999999999</v>
      </c>
      <c r="AY1324" s="6" t="s">
        <v>4560</v>
      </c>
      <c r="AZ1324" s="6" t="s">
        <v>168</v>
      </c>
      <c r="BA1324" s="6"/>
      <c r="BB1324" s="6" t="s">
        <v>168</v>
      </c>
      <c r="BC1324" s="6"/>
    </row>
    <row r="1325" spans="32:55">
      <c r="AF1325" t="str">
        <f t="shared" si="64"/>
        <v>1</v>
      </c>
      <c r="AG1325" t="str">
        <f t="shared" si="65"/>
        <v>HOOC-C₆H₄-COOH (s)</v>
      </c>
      <c r="AH1325" t="s">
        <v>4561</v>
      </c>
      <c r="AI1325" t="s">
        <v>4562</v>
      </c>
      <c r="AJ1325" t="s">
        <v>4562</v>
      </c>
      <c r="AK1325" t="s">
        <v>4563</v>
      </c>
      <c r="AL1325" t="s">
        <v>4564</v>
      </c>
      <c r="AS1325" t="s">
        <v>160</v>
      </c>
      <c r="AX1325" s="6">
        <v>166.13</v>
      </c>
      <c r="AY1325" s="6" t="s">
        <v>4565</v>
      </c>
      <c r="AZ1325" s="6">
        <v>207.9</v>
      </c>
      <c r="BA1325" s="6"/>
      <c r="BB1325" s="6">
        <v>-591.58000000000004</v>
      </c>
    </row>
    <row r="1326" spans="32:55">
      <c r="AF1326" t="str">
        <f t="shared" si="64"/>
        <v>1</v>
      </c>
      <c r="AG1326" t="str">
        <f t="shared" si="65"/>
        <v>HOOC-C₆H₄-COOH (s)</v>
      </c>
      <c r="AH1326" t="s">
        <v>4561</v>
      </c>
      <c r="AI1326" t="s">
        <v>4562</v>
      </c>
      <c r="AJ1326" t="s">
        <v>4562</v>
      </c>
      <c r="AK1326" t="s">
        <v>4566</v>
      </c>
      <c r="AL1326" t="s">
        <v>4567</v>
      </c>
      <c r="AS1326" t="s">
        <v>160</v>
      </c>
      <c r="AX1326" s="6">
        <v>166.13</v>
      </c>
      <c r="AY1326" s="6" t="s">
        <v>4568</v>
      </c>
      <c r="AZ1326" s="6" t="s">
        <v>168</v>
      </c>
      <c r="BA1326" s="6"/>
      <c r="BB1326" s="6" t="s">
        <v>168</v>
      </c>
      <c r="BC1326" s="6"/>
    </row>
    <row r="1327" spans="32:55">
      <c r="AF1327" t="str">
        <f t="shared" si="64"/>
        <v>1</v>
      </c>
      <c r="AG1327" t="str">
        <f t="shared" si="65"/>
        <v>HOOC-C₆H₄-COOH (s)</v>
      </c>
      <c r="AH1327" t="s">
        <v>4561</v>
      </c>
      <c r="AI1327" t="s">
        <v>4562</v>
      </c>
      <c r="AJ1327" t="s">
        <v>4562</v>
      </c>
      <c r="AK1327" t="s">
        <v>4569</v>
      </c>
      <c r="AL1327" t="s">
        <v>4570</v>
      </c>
      <c r="AS1327" t="s">
        <v>160</v>
      </c>
      <c r="AX1327" s="6">
        <v>166.13</v>
      </c>
      <c r="AY1327" s="6" t="s">
        <v>4571</v>
      </c>
      <c r="AZ1327" s="6" t="s">
        <v>168</v>
      </c>
      <c r="BA1327" s="6"/>
      <c r="BB1327" s="6" t="s">
        <v>168</v>
      </c>
      <c r="BC1327" s="6"/>
    </row>
    <row r="1328" spans="32:55">
      <c r="AF1328">
        <f t="shared" si="64"/>
        <v>0</v>
      </c>
      <c r="AG1328" t="str">
        <f t="shared" si="65"/>
        <v>CH₃(CH₂)₈COOH (s)</v>
      </c>
      <c r="AH1328" t="s">
        <v>4572</v>
      </c>
      <c r="AI1328" t="s">
        <v>4573</v>
      </c>
      <c r="AJ1328" t="s">
        <v>4574</v>
      </c>
      <c r="AK1328" t="s">
        <v>4575</v>
      </c>
      <c r="AL1328" t="s">
        <v>4576</v>
      </c>
      <c r="AS1328" t="s">
        <v>160</v>
      </c>
      <c r="AX1328" s="6">
        <v>172.27</v>
      </c>
      <c r="AY1328" s="6" t="s">
        <v>4577</v>
      </c>
      <c r="AZ1328" s="6" t="s">
        <v>168</v>
      </c>
      <c r="BA1328" s="6"/>
      <c r="BB1328" s="6" t="s">
        <v>168</v>
      </c>
      <c r="BC1328" s="6"/>
    </row>
    <row r="1329" spans="32:55">
      <c r="AF1329">
        <f t="shared" si="64"/>
        <v>0</v>
      </c>
      <c r="AG1329" t="str">
        <f t="shared" si="65"/>
        <v>CH₃COOC₆H₄COOH (s)</v>
      </c>
      <c r="AH1329" t="s">
        <v>4578</v>
      </c>
      <c r="AI1329" t="s">
        <v>4579</v>
      </c>
      <c r="AJ1329" t="s">
        <v>4579</v>
      </c>
      <c r="AL1329" t="s">
        <v>4580</v>
      </c>
      <c r="AS1329" t="s">
        <v>160</v>
      </c>
      <c r="AX1329" s="6">
        <v>180.16</v>
      </c>
      <c r="AY1329" s="6" t="s">
        <v>4581</v>
      </c>
      <c r="AZ1329" s="6" t="s">
        <v>168</v>
      </c>
      <c r="BA1329" s="6"/>
      <c r="BB1329" s="6" t="s">
        <v>168</v>
      </c>
      <c r="BC1329" s="6"/>
    </row>
    <row r="1330" spans="32:55">
      <c r="AF1330">
        <f t="shared" si="64"/>
        <v>0</v>
      </c>
      <c r="AG1330" t="str">
        <f t="shared" si="65"/>
        <v>CH₂ICOOH (s)</v>
      </c>
      <c r="AH1330" t="s">
        <v>4582</v>
      </c>
      <c r="AI1330" t="s">
        <v>4583</v>
      </c>
      <c r="AJ1330" t="s">
        <v>4583</v>
      </c>
      <c r="AL1330" t="s">
        <v>4584</v>
      </c>
      <c r="AS1330" t="s">
        <v>160</v>
      </c>
      <c r="AX1330" s="6">
        <v>185.95</v>
      </c>
      <c r="AY1330" s="6" t="s">
        <v>168</v>
      </c>
      <c r="AZ1330" s="6" t="s">
        <v>168</v>
      </c>
      <c r="BA1330" s="6"/>
      <c r="BB1330" s="6" t="s">
        <v>168</v>
      </c>
      <c r="BC1330" s="6"/>
    </row>
    <row r="1331" spans="32:55">
      <c r="AF1331">
        <f t="shared" si="64"/>
        <v>0</v>
      </c>
      <c r="AG1331" t="str">
        <f t="shared" si="65"/>
        <v>C₆H₈O₇ (s)</v>
      </c>
      <c r="AH1331" t="s">
        <v>4585</v>
      </c>
      <c r="AI1331" t="s">
        <v>4586</v>
      </c>
      <c r="AJ1331" t="s">
        <v>4586</v>
      </c>
      <c r="AL1331" t="s">
        <v>4587</v>
      </c>
      <c r="AS1331" t="s">
        <v>160</v>
      </c>
      <c r="AX1331" s="6">
        <v>192.12</v>
      </c>
      <c r="AY1331" s="6" t="s">
        <v>4588</v>
      </c>
      <c r="AZ1331" s="6">
        <v>166.2</v>
      </c>
      <c r="BA1331" s="6"/>
      <c r="BB1331" s="6">
        <v>-1236.3699999999999</v>
      </c>
    </row>
    <row r="1332" spans="32:55">
      <c r="AF1332">
        <f t="shared" si="64"/>
        <v>0</v>
      </c>
      <c r="AG1332" t="str">
        <f t="shared" si="65"/>
        <v>C₆H₈O₇∙H₂O (s)</v>
      </c>
      <c r="AH1332" t="s">
        <v>4589</v>
      </c>
      <c r="AI1332" t="s">
        <v>4590</v>
      </c>
      <c r="AJ1332" t="s">
        <v>4591</v>
      </c>
      <c r="AL1332" t="s">
        <v>4592</v>
      </c>
      <c r="AS1332" t="s">
        <v>160</v>
      </c>
      <c r="AX1332" s="6">
        <v>210.14</v>
      </c>
      <c r="AY1332" s="6" t="s">
        <v>4593</v>
      </c>
      <c r="AZ1332" s="6">
        <v>283.47000000000003</v>
      </c>
      <c r="BA1332" s="6"/>
      <c r="BB1332" s="6"/>
      <c r="BC1332" s="6"/>
    </row>
    <row r="1333" spans="32:55">
      <c r="AF1333" t="str">
        <f t="shared" si="64"/>
        <v>1</v>
      </c>
      <c r="AG1333" t="str">
        <f t="shared" si="65"/>
        <v>C₆H₈O₇ (aq)</v>
      </c>
      <c r="AH1333" t="s">
        <v>4585</v>
      </c>
      <c r="AI1333" t="s">
        <v>4586</v>
      </c>
      <c r="AJ1333" t="s">
        <v>4586</v>
      </c>
      <c r="AK1333" t="s">
        <v>4594</v>
      </c>
      <c r="AL1333" t="s">
        <v>4587</v>
      </c>
      <c r="AS1333" t="s">
        <v>48</v>
      </c>
      <c r="AX1333" s="6">
        <v>192.12</v>
      </c>
      <c r="AY1333" s="6" t="s">
        <v>4595</v>
      </c>
      <c r="AZ1333" s="6">
        <v>329.3</v>
      </c>
      <c r="BA1333" s="6"/>
      <c r="BB1333" s="6"/>
      <c r="BC1333" s="6"/>
    </row>
    <row r="1334" spans="32:55">
      <c r="AF1334" t="str">
        <f t="shared" si="64"/>
        <v>1</v>
      </c>
      <c r="AG1334" t="str">
        <f t="shared" si="65"/>
        <v>C₆H₇O₇⁻ (aq)</v>
      </c>
      <c r="AH1334" t="s">
        <v>4596</v>
      </c>
      <c r="AI1334" t="s">
        <v>4597</v>
      </c>
      <c r="AJ1334" t="s">
        <v>4597</v>
      </c>
      <c r="AL1334" t="s">
        <v>4598</v>
      </c>
      <c r="AS1334" t="s">
        <v>48</v>
      </c>
      <c r="AX1334" s="6">
        <v>191.12</v>
      </c>
      <c r="AY1334" s="6" t="s">
        <v>4599</v>
      </c>
      <c r="AZ1334" s="6">
        <v>286.2</v>
      </c>
      <c r="BA1334" s="6"/>
      <c r="BB1334" s="6"/>
      <c r="BC1334" s="6"/>
    </row>
    <row r="1335" spans="32:55">
      <c r="AF1335" t="str">
        <f t="shared" si="64"/>
        <v>1</v>
      </c>
      <c r="AG1335" t="str">
        <f t="shared" si="65"/>
        <v>C₆H₆O₇²⁻ (aq)</v>
      </c>
      <c r="AH1335" t="s">
        <v>4600</v>
      </c>
      <c r="AI1335" t="s">
        <v>4601</v>
      </c>
      <c r="AJ1335" t="s">
        <v>4601</v>
      </c>
      <c r="AL1335" t="s">
        <v>4602</v>
      </c>
      <c r="AS1335" t="s">
        <v>48</v>
      </c>
      <c r="AX1335" s="6">
        <v>190.11</v>
      </c>
      <c r="AY1335" s="6" t="s">
        <v>4603</v>
      </c>
      <c r="AZ1335" s="6">
        <v>203.3</v>
      </c>
      <c r="BA1335" s="6"/>
      <c r="BB1335" s="6"/>
      <c r="BC1335" s="6"/>
    </row>
    <row r="1336" spans="32:55">
      <c r="AF1336" t="str">
        <f t="shared" si="64"/>
        <v>1</v>
      </c>
      <c r="AG1336" t="str">
        <f t="shared" si="65"/>
        <v>C₆H₅O₇³⁻ (aq)</v>
      </c>
      <c r="AH1336" t="s">
        <v>4604</v>
      </c>
      <c r="AI1336" t="s">
        <v>4605</v>
      </c>
      <c r="AJ1336" t="s">
        <v>4605</v>
      </c>
      <c r="AL1336" t="s">
        <v>4606</v>
      </c>
      <c r="AS1336" t="s">
        <v>48</v>
      </c>
      <c r="AX1336" s="6">
        <v>189.1</v>
      </c>
      <c r="AY1336" s="6" t="s">
        <v>4607</v>
      </c>
      <c r="AZ1336" s="6">
        <v>92</v>
      </c>
      <c r="BA1336" s="6"/>
      <c r="BB1336" s="6"/>
      <c r="BC1336" s="6"/>
    </row>
    <row r="1337" spans="32:55">
      <c r="AF1337" t="str">
        <f t="shared" si="64"/>
        <v>1</v>
      </c>
      <c r="AG1337" t="str">
        <f t="shared" si="65"/>
        <v>C₆H₈O₇ (aq)</v>
      </c>
      <c r="AH1337" t="s">
        <v>4585</v>
      </c>
      <c r="AI1337" t="s">
        <v>4586</v>
      </c>
      <c r="AJ1337" t="s">
        <v>4586</v>
      </c>
      <c r="AL1337" t="s">
        <v>4608</v>
      </c>
      <c r="AS1337" t="s">
        <v>48</v>
      </c>
      <c r="AX1337" s="6">
        <v>192.12</v>
      </c>
      <c r="AY1337" s="6" t="s">
        <v>168</v>
      </c>
      <c r="AZ1337" s="6" t="s">
        <v>168</v>
      </c>
      <c r="BA1337" s="6"/>
      <c r="BB1337" s="6">
        <v>-1238.21</v>
      </c>
    </row>
    <row r="1338" spans="32:55">
      <c r="AF1338" t="str">
        <f t="shared" si="64"/>
        <v>1</v>
      </c>
      <c r="AG1338" t="str">
        <f t="shared" si="65"/>
        <v>C₆H₇O₇⁻ (aq)</v>
      </c>
      <c r="AH1338" t="s">
        <v>4596</v>
      </c>
      <c r="AI1338" t="s">
        <v>4597</v>
      </c>
      <c r="AJ1338" t="s">
        <v>4597</v>
      </c>
      <c r="AL1338" t="s">
        <v>4609</v>
      </c>
      <c r="AS1338" t="s">
        <v>48</v>
      </c>
      <c r="AX1338" s="6" t="s">
        <v>168</v>
      </c>
      <c r="AY1338" s="6" t="s">
        <v>168</v>
      </c>
      <c r="AZ1338" s="6" t="s">
        <v>168</v>
      </c>
      <c r="BA1338" s="6"/>
      <c r="BB1338" s="6">
        <v>-1219.47</v>
      </c>
    </row>
    <row r="1339" spans="32:55">
      <c r="AF1339" t="str">
        <f t="shared" si="64"/>
        <v>1</v>
      </c>
      <c r="AG1339" t="str">
        <f t="shared" si="65"/>
        <v>C₆H₆O₇²⁻ (aq)</v>
      </c>
      <c r="AH1339" t="s">
        <v>4600</v>
      </c>
      <c r="AI1339" t="s">
        <v>4601</v>
      </c>
      <c r="AJ1339" t="s">
        <v>4601</v>
      </c>
      <c r="AL1339" t="s">
        <v>4610</v>
      </c>
      <c r="AS1339" t="s">
        <v>48</v>
      </c>
      <c r="AX1339" s="6" t="s">
        <v>168</v>
      </c>
      <c r="AY1339" s="6" t="s">
        <v>168</v>
      </c>
      <c r="AZ1339" s="6" t="s">
        <v>168</v>
      </c>
      <c r="BA1339" s="6"/>
      <c r="BB1339" s="6">
        <v>-1192.57</v>
      </c>
    </row>
    <row r="1340" spans="32:55">
      <c r="AF1340" t="str">
        <f t="shared" si="64"/>
        <v>1</v>
      </c>
      <c r="AG1340" t="str">
        <f t="shared" si="65"/>
        <v>C₆H₅O₇³⁻ (aq)</v>
      </c>
      <c r="AH1340" t="s">
        <v>4604</v>
      </c>
      <c r="AI1340" t="s">
        <v>4605</v>
      </c>
      <c r="AJ1340" t="s">
        <v>4605</v>
      </c>
      <c r="AL1340" t="s">
        <v>4611</v>
      </c>
      <c r="AS1340" t="s">
        <v>48</v>
      </c>
      <c r="AX1340" s="6" t="s">
        <v>168</v>
      </c>
      <c r="AY1340" s="6" t="s">
        <v>168</v>
      </c>
      <c r="AZ1340" s="6" t="s">
        <v>168</v>
      </c>
      <c r="BA1340" s="6"/>
      <c r="BB1340" s="6">
        <v>-1156.03</v>
      </c>
    </row>
    <row r="1341" spans="32:55">
      <c r="AF1341">
        <f t="shared" si="64"/>
        <v>0</v>
      </c>
      <c r="AG1341" t="str">
        <f t="shared" si="65"/>
        <v/>
      </c>
      <c r="AH1341" t="s">
        <v>4612</v>
      </c>
      <c r="AI1341" t="s">
        <v>4613</v>
      </c>
      <c r="AJ1341" t="s">
        <v>4614</v>
      </c>
      <c r="AK1341" t="s">
        <v>4615</v>
      </c>
      <c r="AL1341" t="s">
        <v>4616</v>
      </c>
      <c r="AS1341" t="s">
        <v>220</v>
      </c>
      <c r="AX1341" s="6">
        <v>200.32</v>
      </c>
      <c r="AY1341" s="6" t="s">
        <v>168</v>
      </c>
      <c r="AZ1341" s="6" t="s">
        <v>168</v>
      </c>
      <c r="BA1341" s="6"/>
      <c r="BB1341" s="6" t="s">
        <v>168</v>
      </c>
      <c r="BC1341" s="6"/>
    </row>
    <row r="1342" spans="32:55">
      <c r="AF1342">
        <f t="shared" si="64"/>
        <v>0</v>
      </c>
      <c r="AG1342" t="str">
        <f t="shared" si="65"/>
        <v>HOOC(CH₂)₈COOH (s)</v>
      </c>
      <c r="AH1342" t="s">
        <v>4617</v>
      </c>
      <c r="AI1342" t="s">
        <v>4618</v>
      </c>
      <c r="AJ1342" t="s">
        <v>4619</v>
      </c>
      <c r="AK1342" t="s">
        <v>4620</v>
      </c>
      <c r="AL1342" t="s">
        <v>4621</v>
      </c>
      <c r="AS1342" t="s">
        <v>160</v>
      </c>
      <c r="AX1342" s="6">
        <v>202.25</v>
      </c>
      <c r="AY1342" s="6" t="s">
        <v>4622</v>
      </c>
      <c r="AZ1342" s="6" t="s">
        <v>168</v>
      </c>
      <c r="BA1342" s="6"/>
      <c r="BB1342" s="6" t="s">
        <v>168</v>
      </c>
      <c r="BC1342" s="6"/>
    </row>
    <row r="1343" spans="32:55">
      <c r="AF1343">
        <f t="shared" si="64"/>
        <v>0</v>
      </c>
      <c r="AG1343" t="str">
        <f t="shared" si="65"/>
        <v>CH₃(CH₂)₁₂COOH (s)</v>
      </c>
      <c r="AH1343" t="s">
        <v>4623</v>
      </c>
      <c r="AI1343" t="s">
        <v>4624</v>
      </c>
      <c r="AJ1343" t="s">
        <v>4625</v>
      </c>
      <c r="AK1343" t="s">
        <v>4626</v>
      </c>
      <c r="AL1343" t="s">
        <v>4627</v>
      </c>
      <c r="AS1343" t="s">
        <v>160</v>
      </c>
      <c r="AX1343" s="6">
        <v>228.38</v>
      </c>
      <c r="AY1343" s="6" t="s">
        <v>4628</v>
      </c>
      <c r="AZ1343" s="6" t="s">
        <v>168</v>
      </c>
      <c r="BA1343" s="6"/>
      <c r="BB1343" s="6" t="s">
        <v>168</v>
      </c>
      <c r="BC1343" s="6"/>
    </row>
    <row r="1344" spans="32:55">
      <c r="AF1344">
        <f t="shared" si="64"/>
        <v>0</v>
      </c>
      <c r="AG1344" t="str">
        <f t="shared" si="65"/>
        <v>CH₃(CH₂)₁₄COOH (s)</v>
      </c>
      <c r="AH1344" t="s">
        <v>4629</v>
      </c>
      <c r="AI1344" t="s">
        <v>4630</v>
      </c>
      <c r="AJ1344" t="s">
        <v>4631</v>
      </c>
      <c r="AK1344" t="s">
        <v>4632</v>
      </c>
      <c r="AL1344" t="s">
        <v>4633</v>
      </c>
      <c r="AS1344" t="s">
        <v>160</v>
      </c>
      <c r="AX1344" s="6">
        <v>256.42</v>
      </c>
      <c r="AY1344" s="6" t="s">
        <v>4634</v>
      </c>
      <c r="AZ1344" s="6">
        <v>452.4</v>
      </c>
      <c r="BA1344" s="6"/>
      <c r="BB1344" s="6">
        <v>-315.06</v>
      </c>
    </row>
    <row r="1345" spans="32:55">
      <c r="AF1345">
        <f t="shared" si="64"/>
        <v>0</v>
      </c>
      <c r="AG1345" t="str">
        <f t="shared" si="65"/>
        <v>CH₃(CH₂)₁₄COOH (aq)</v>
      </c>
      <c r="AH1345" t="s">
        <v>4629</v>
      </c>
      <c r="AI1345" t="s">
        <v>4630</v>
      </c>
      <c r="AJ1345" t="s">
        <v>4631</v>
      </c>
      <c r="AL1345" t="s">
        <v>4633</v>
      </c>
      <c r="AS1345" t="s">
        <v>48</v>
      </c>
      <c r="AX1345" s="6">
        <v>256.42</v>
      </c>
      <c r="AY1345" s="6" t="s">
        <v>168</v>
      </c>
      <c r="AZ1345" s="6" t="s">
        <v>168</v>
      </c>
      <c r="BA1345" s="6"/>
      <c r="BB1345" s="6">
        <v>-278.86</v>
      </c>
    </row>
    <row r="1346" spans="32:55">
      <c r="AF1346">
        <f t="shared" si="64"/>
        <v>0</v>
      </c>
      <c r="AG1346" t="str">
        <f t="shared" si="65"/>
        <v>CH₃(CH₂)₁₄COO⁻ (aq)</v>
      </c>
      <c r="AH1346" t="s">
        <v>4635</v>
      </c>
      <c r="AI1346" t="s">
        <v>4636</v>
      </c>
      <c r="AJ1346" t="s">
        <v>4637</v>
      </c>
      <c r="AL1346" t="s">
        <v>4638</v>
      </c>
      <c r="AS1346" t="s">
        <v>48</v>
      </c>
      <c r="AX1346" s="6">
        <v>255.41</v>
      </c>
      <c r="AY1346" s="6" t="s">
        <v>168</v>
      </c>
      <c r="AZ1346" s="6" t="s">
        <v>168</v>
      </c>
      <c r="BA1346" s="6"/>
      <c r="BB1346" s="6">
        <v>-259.41000000000003</v>
      </c>
    </row>
    <row r="1347" spans="32:55">
      <c r="AF1347">
        <f t="shared" ref="AF1347:AF1410" si="66">IF(OR(AG1347="",COUNTIF(AG:AG, AG1347) = 1),0, "1")</f>
        <v>0</v>
      </c>
      <c r="AG1347" t="str">
        <f t="shared" ref="AG1347:AG1410" si="67">IF(AS1347 &lt;&gt; "",AH1347&amp;" ("&amp;AS1347 &amp;")","")</f>
        <v/>
      </c>
      <c r="AH1347" t="s">
        <v>4639</v>
      </c>
      <c r="AI1347" t="s">
        <v>4640</v>
      </c>
      <c r="AJ1347" t="s">
        <v>4640</v>
      </c>
      <c r="AK1347" t="s">
        <v>4641</v>
      </c>
      <c r="AL1347" t="s">
        <v>4642</v>
      </c>
      <c r="AX1347" s="6">
        <v>278.43</v>
      </c>
      <c r="AY1347" s="6" t="s">
        <v>168</v>
      </c>
      <c r="AZ1347" s="6" t="s">
        <v>168</v>
      </c>
      <c r="BA1347" s="6"/>
      <c r="BB1347" s="6" t="s">
        <v>168</v>
      </c>
      <c r="BC1347" s="6"/>
    </row>
    <row r="1348" spans="32:55">
      <c r="AF1348">
        <f t="shared" si="66"/>
        <v>0</v>
      </c>
      <c r="AG1348" t="str">
        <f t="shared" si="67"/>
        <v/>
      </c>
      <c r="AH1348" t="s">
        <v>4643</v>
      </c>
      <c r="AI1348" t="s">
        <v>4644</v>
      </c>
      <c r="AJ1348" t="s">
        <v>4644</v>
      </c>
      <c r="AK1348" t="s">
        <v>4645</v>
      </c>
      <c r="AL1348" t="s">
        <v>4646</v>
      </c>
      <c r="AX1348" s="6">
        <v>280.43</v>
      </c>
      <c r="AY1348" s="6" t="s">
        <v>168</v>
      </c>
      <c r="AZ1348" s="6" t="s">
        <v>168</v>
      </c>
      <c r="BA1348" s="6"/>
      <c r="BB1348" s="6" t="s">
        <v>168</v>
      </c>
      <c r="BC1348" s="6"/>
    </row>
    <row r="1349" spans="32:55">
      <c r="AF1349">
        <f t="shared" si="66"/>
        <v>0</v>
      </c>
      <c r="AG1349" t="str">
        <f t="shared" si="67"/>
        <v>CH₃(CH₂)₇CH=CH(CH₂)₇COOH (l)</v>
      </c>
      <c r="AH1349" t="s">
        <v>4647</v>
      </c>
      <c r="AI1349" t="s">
        <v>4648</v>
      </c>
      <c r="AJ1349" t="s">
        <v>4649</v>
      </c>
      <c r="AK1349" t="s">
        <v>4650</v>
      </c>
      <c r="AL1349" t="s">
        <v>4651</v>
      </c>
      <c r="AS1349" t="s">
        <v>239</v>
      </c>
      <c r="AX1349" s="6">
        <v>282.45999999999998</v>
      </c>
      <c r="AY1349" s="6" t="s">
        <v>168</v>
      </c>
      <c r="AZ1349" s="6" t="s">
        <v>168</v>
      </c>
      <c r="BA1349" s="6"/>
      <c r="BB1349" s="6" t="s">
        <v>168</v>
      </c>
      <c r="BC1349" s="6"/>
    </row>
    <row r="1350" spans="32:55">
      <c r="AF1350">
        <f t="shared" si="66"/>
        <v>0</v>
      </c>
      <c r="AG1350" t="str">
        <f t="shared" si="67"/>
        <v/>
      </c>
      <c r="AH1350" t="s">
        <v>4647</v>
      </c>
      <c r="AI1350" t="s">
        <v>4648</v>
      </c>
      <c r="AJ1350" t="s">
        <v>4649</v>
      </c>
      <c r="AK1350" t="s">
        <v>4652</v>
      </c>
      <c r="AL1350" t="s">
        <v>4653</v>
      </c>
      <c r="AS1350" t="s">
        <v>220</v>
      </c>
      <c r="AX1350" s="6">
        <v>282.45999999999998</v>
      </c>
      <c r="AY1350" s="6" t="s">
        <v>168</v>
      </c>
      <c r="AZ1350" s="6" t="s">
        <v>168</v>
      </c>
      <c r="BA1350" s="6"/>
      <c r="BB1350" s="6" t="s">
        <v>168</v>
      </c>
      <c r="BC1350" s="6"/>
    </row>
    <row r="1351" spans="32:55">
      <c r="AF1351">
        <f t="shared" si="66"/>
        <v>0</v>
      </c>
      <c r="AG1351" t="str">
        <f t="shared" si="67"/>
        <v>CH₃(CH₂)₁₆COOH (s)</v>
      </c>
      <c r="AH1351" t="s">
        <v>4654</v>
      </c>
      <c r="AI1351" t="s">
        <v>4655</v>
      </c>
      <c r="AJ1351" t="s">
        <v>4656</v>
      </c>
      <c r="AK1351" t="s">
        <v>4657</v>
      </c>
      <c r="AL1351" t="s">
        <v>4658</v>
      </c>
      <c r="AS1351" t="s">
        <v>160</v>
      </c>
      <c r="AX1351" s="6">
        <v>284.48</v>
      </c>
      <c r="AY1351" s="6" t="s">
        <v>4659</v>
      </c>
      <c r="AZ1351" s="6" t="s">
        <v>168</v>
      </c>
      <c r="BA1351" s="6"/>
      <c r="BB1351" s="6" t="s">
        <v>168</v>
      </c>
      <c r="BC1351" s="6"/>
    </row>
    <row r="1352" spans="32:55">
      <c r="AF1352">
        <f t="shared" si="66"/>
        <v>0</v>
      </c>
      <c r="AG1352" t="str">
        <f t="shared" si="67"/>
        <v>CH₃(CH₂)₇CH=CH(CH₂)₁₁COOH (s)</v>
      </c>
      <c r="AH1352" t="s">
        <v>4660</v>
      </c>
      <c r="AI1352" t="s">
        <v>4661</v>
      </c>
      <c r="AJ1352" t="s">
        <v>4662</v>
      </c>
      <c r="AK1352" t="s">
        <v>4663</v>
      </c>
      <c r="AL1352" t="s">
        <v>4664</v>
      </c>
      <c r="AS1352" t="s">
        <v>160</v>
      </c>
      <c r="AX1352" s="6">
        <v>338.57</v>
      </c>
      <c r="AY1352" s="6" t="s">
        <v>4665</v>
      </c>
      <c r="AZ1352" s="6" t="s">
        <v>168</v>
      </c>
      <c r="BA1352" s="6"/>
      <c r="BB1352" s="6" t="s">
        <v>168</v>
      </c>
      <c r="BC1352" s="6"/>
    </row>
    <row r="1353" spans="32:55">
      <c r="AF1353">
        <f t="shared" si="66"/>
        <v>0</v>
      </c>
      <c r="AG1353" t="str">
        <f t="shared" si="67"/>
        <v>(CH₃C=O)₂O (l)</v>
      </c>
      <c r="AH1353" t="s">
        <v>4666</v>
      </c>
      <c r="AI1353" t="s">
        <v>4667</v>
      </c>
      <c r="AJ1353" t="s">
        <v>4668</v>
      </c>
      <c r="AL1353" t="s">
        <v>4669</v>
      </c>
      <c r="AS1353" t="s">
        <v>239</v>
      </c>
      <c r="AX1353" s="6">
        <v>102.09</v>
      </c>
      <c r="AY1353" s="6" t="s">
        <v>4670</v>
      </c>
      <c r="AZ1353" s="6">
        <v>268.61</v>
      </c>
      <c r="BA1353" s="6"/>
      <c r="BB1353" s="6">
        <v>-488.77</v>
      </c>
    </row>
    <row r="1354" spans="32:55">
      <c r="AF1354">
        <f t="shared" si="66"/>
        <v>0</v>
      </c>
      <c r="AG1354" t="str">
        <f t="shared" si="67"/>
        <v>(CH₃CH₂C=O)₂O (l)</v>
      </c>
      <c r="AH1354" t="s">
        <v>4671</v>
      </c>
      <c r="AI1354" t="s">
        <v>4672</v>
      </c>
      <c r="AJ1354" t="s">
        <v>4673</v>
      </c>
      <c r="AL1354" t="s">
        <v>4674</v>
      </c>
      <c r="AS1354" t="s">
        <v>239</v>
      </c>
      <c r="AX1354" s="6">
        <v>130.13999999999999</v>
      </c>
      <c r="AY1354" s="6" t="s">
        <v>4675</v>
      </c>
      <c r="AZ1354" s="6" t="s">
        <v>168</v>
      </c>
      <c r="BA1354" s="6"/>
      <c r="BB1354" s="6">
        <v>-475.55</v>
      </c>
    </row>
    <row r="1355" spans="32:55">
      <c r="AF1355">
        <f t="shared" si="66"/>
        <v>0</v>
      </c>
      <c r="AG1355" t="str">
        <f t="shared" si="67"/>
        <v>C₆H₄(C=O)₂O (s)</v>
      </c>
      <c r="AH1355" t="s">
        <v>4676</v>
      </c>
      <c r="AI1355" t="s">
        <v>4677</v>
      </c>
      <c r="AJ1355" t="s">
        <v>4678</v>
      </c>
      <c r="AL1355" t="s">
        <v>4679</v>
      </c>
      <c r="AS1355" t="s">
        <v>160</v>
      </c>
      <c r="AX1355" s="6">
        <v>148.12</v>
      </c>
      <c r="AY1355" s="6" t="s">
        <v>4680</v>
      </c>
      <c r="AZ1355" s="6">
        <v>180</v>
      </c>
      <c r="BA1355" s="6"/>
      <c r="BB1355" s="6">
        <v>-331.04</v>
      </c>
    </row>
    <row r="1356" spans="32:55">
      <c r="AF1356">
        <f t="shared" si="66"/>
        <v>0</v>
      </c>
      <c r="AG1356" t="str">
        <f t="shared" si="67"/>
        <v>(C₆H₅C=O)₂O (s)</v>
      </c>
      <c r="AH1356" t="s">
        <v>4681</v>
      </c>
      <c r="AI1356" t="s">
        <v>4682</v>
      </c>
      <c r="AJ1356" t="s">
        <v>4683</v>
      </c>
      <c r="AL1356" t="s">
        <v>4684</v>
      </c>
      <c r="AS1356" t="s">
        <v>160</v>
      </c>
      <c r="AX1356" s="6">
        <v>226.23</v>
      </c>
      <c r="AY1356" s="6" t="s">
        <v>4685</v>
      </c>
      <c r="AZ1356" s="6"/>
      <c r="BA1356" s="6"/>
      <c r="BB1356" s="6" t="s">
        <v>168</v>
      </c>
      <c r="BC1356" s="6"/>
    </row>
    <row r="1357" spans="32:55">
      <c r="AF1357">
        <f t="shared" si="66"/>
        <v>0</v>
      </c>
      <c r="AG1357" t="str">
        <f t="shared" si="67"/>
        <v>CH₃C(=O)Cl (l)</v>
      </c>
      <c r="AH1357" t="s">
        <v>4686</v>
      </c>
      <c r="AI1357" t="s">
        <v>4687</v>
      </c>
      <c r="AJ1357" t="s">
        <v>4688</v>
      </c>
      <c r="AK1357" t="s">
        <v>4689</v>
      </c>
      <c r="AL1357" t="s">
        <v>4690</v>
      </c>
      <c r="AS1357" t="s">
        <v>239</v>
      </c>
      <c r="AX1357" s="6">
        <v>78.5</v>
      </c>
      <c r="AY1357" s="6" t="s">
        <v>4691</v>
      </c>
      <c r="AZ1357" s="6">
        <v>200.8</v>
      </c>
      <c r="BA1357" s="6"/>
      <c r="BB1357" s="6">
        <v>-208</v>
      </c>
    </row>
    <row r="1358" spans="32:55">
      <c r="AF1358">
        <f t="shared" si="66"/>
        <v>0</v>
      </c>
      <c r="AG1358" t="str">
        <f t="shared" si="67"/>
        <v>CH₃C(=O)Cl (g)</v>
      </c>
      <c r="AH1358" t="s">
        <v>4686</v>
      </c>
      <c r="AI1358" t="s">
        <v>4687</v>
      </c>
      <c r="AJ1358" t="s">
        <v>4688</v>
      </c>
      <c r="AL1358" t="s">
        <v>4690</v>
      </c>
      <c r="AS1358" t="s">
        <v>47</v>
      </c>
      <c r="AX1358" s="6">
        <v>78.5</v>
      </c>
      <c r="AY1358" s="6" t="s">
        <v>4692</v>
      </c>
      <c r="AZ1358" s="6">
        <v>295.10000000000002</v>
      </c>
      <c r="BA1358" s="6"/>
      <c r="BB1358" s="6">
        <v>-205.8</v>
      </c>
    </row>
    <row r="1359" spans="32:55">
      <c r="AF1359">
        <f t="shared" si="66"/>
        <v>0</v>
      </c>
      <c r="AG1359" t="str">
        <f t="shared" si="67"/>
        <v/>
      </c>
      <c r="AH1359" t="s">
        <v>4693</v>
      </c>
      <c r="AI1359" t="s">
        <v>4694</v>
      </c>
      <c r="AJ1359" t="s">
        <v>4695</v>
      </c>
      <c r="AL1359" t="s">
        <v>4696</v>
      </c>
      <c r="AS1359" t="s">
        <v>220</v>
      </c>
      <c r="AX1359" s="6">
        <v>92.53</v>
      </c>
      <c r="AY1359" s="6" t="s">
        <v>168</v>
      </c>
      <c r="AZ1359" s="6" t="s">
        <v>168</v>
      </c>
      <c r="BA1359" s="6"/>
      <c r="BB1359" s="6" t="s">
        <v>168</v>
      </c>
      <c r="BC1359" s="6"/>
    </row>
    <row r="1360" spans="32:55">
      <c r="AF1360">
        <f t="shared" si="66"/>
        <v>0</v>
      </c>
      <c r="AG1360" t="str">
        <f t="shared" si="67"/>
        <v>C(=O)Cl₂ (g)</v>
      </c>
      <c r="AH1360" t="s">
        <v>4697</v>
      </c>
      <c r="AI1360" t="s">
        <v>4698</v>
      </c>
      <c r="AJ1360" t="s">
        <v>4699</v>
      </c>
      <c r="AL1360" t="s">
        <v>4700</v>
      </c>
      <c r="AS1360" t="s">
        <v>47</v>
      </c>
      <c r="AX1360" s="6">
        <v>98.92</v>
      </c>
      <c r="AY1360" s="6" t="s">
        <v>829</v>
      </c>
      <c r="AZ1360" s="6">
        <v>283.5</v>
      </c>
      <c r="BA1360" s="6"/>
      <c r="BB1360" s="6">
        <v>-204.9</v>
      </c>
    </row>
    <row r="1361" spans="32:55">
      <c r="AF1361">
        <f t="shared" si="66"/>
        <v>0</v>
      </c>
      <c r="AG1361" t="str">
        <f t="shared" si="67"/>
        <v>CH₃C(=O)Br (l)</v>
      </c>
      <c r="AH1361" t="s">
        <v>4701</v>
      </c>
      <c r="AI1361" t="s">
        <v>4702</v>
      </c>
      <c r="AJ1361" t="s">
        <v>4703</v>
      </c>
      <c r="AL1361" t="s">
        <v>4704</v>
      </c>
      <c r="AS1361" t="s">
        <v>239</v>
      </c>
      <c r="AX1361" s="6">
        <v>122.95</v>
      </c>
      <c r="AY1361" s="6" t="s">
        <v>4705</v>
      </c>
      <c r="AZ1361" s="6" t="s">
        <v>168</v>
      </c>
      <c r="BA1361" s="6"/>
      <c r="BB1361" s="6" t="s">
        <v>168</v>
      </c>
      <c r="BC1361" s="6"/>
    </row>
    <row r="1362" spans="32:55">
      <c r="AF1362">
        <f t="shared" si="66"/>
        <v>0</v>
      </c>
      <c r="AG1362" t="str">
        <f t="shared" si="67"/>
        <v>C₆H₅C(=O)Cl (l)</v>
      </c>
      <c r="AH1362" t="s">
        <v>4706</v>
      </c>
      <c r="AI1362" t="s">
        <v>4707</v>
      </c>
      <c r="AJ1362" t="s">
        <v>4708</v>
      </c>
      <c r="AL1362" t="s">
        <v>4709</v>
      </c>
      <c r="AS1362" t="s">
        <v>239</v>
      </c>
      <c r="AX1362" s="6">
        <v>140.57</v>
      </c>
      <c r="AY1362" s="6" t="s">
        <v>4710</v>
      </c>
      <c r="AZ1362" s="6" t="s">
        <v>168</v>
      </c>
      <c r="BA1362" s="6"/>
      <c r="BB1362" s="6" t="s">
        <v>168</v>
      </c>
      <c r="BC1362" s="6"/>
    </row>
    <row r="1363" spans="32:55">
      <c r="AF1363">
        <f t="shared" si="66"/>
        <v>0</v>
      </c>
      <c r="AG1363" t="str">
        <f t="shared" si="67"/>
        <v>HC(=O)NH₂ (l)</v>
      </c>
      <c r="AH1363" t="s">
        <v>4711</v>
      </c>
      <c r="AI1363" t="s">
        <v>4712</v>
      </c>
      <c r="AJ1363" t="s">
        <v>4713</v>
      </c>
      <c r="AK1363" t="s">
        <v>4714</v>
      </c>
      <c r="AL1363" t="s">
        <v>4715</v>
      </c>
      <c r="AS1363" t="s">
        <v>239</v>
      </c>
      <c r="AX1363" s="6">
        <v>45.04</v>
      </c>
      <c r="AY1363" s="6" t="s">
        <v>4716</v>
      </c>
      <c r="AZ1363" s="6" t="s">
        <v>168</v>
      </c>
      <c r="BA1363" s="6"/>
      <c r="BB1363" s="6" t="s">
        <v>168</v>
      </c>
      <c r="BC1363" s="6"/>
    </row>
    <row r="1364" spans="32:55">
      <c r="AF1364">
        <f t="shared" si="66"/>
        <v>0</v>
      </c>
      <c r="AG1364" t="str">
        <f t="shared" si="67"/>
        <v>CH₃C(=O)NH₂ (s)</v>
      </c>
      <c r="AH1364" t="s">
        <v>4717</v>
      </c>
      <c r="AI1364" t="s">
        <v>4718</v>
      </c>
      <c r="AJ1364" t="s">
        <v>4719</v>
      </c>
      <c r="AK1364" t="s">
        <v>4720</v>
      </c>
      <c r="AL1364" t="s">
        <v>4721</v>
      </c>
      <c r="AS1364" t="s">
        <v>160</v>
      </c>
      <c r="AX1364" s="6">
        <v>59.07</v>
      </c>
      <c r="AY1364" s="6" t="s">
        <v>4722</v>
      </c>
      <c r="AZ1364" s="6">
        <v>115</v>
      </c>
      <c r="BA1364" s="6"/>
      <c r="BB1364" s="6" t="s">
        <v>168</v>
      </c>
      <c r="BC1364" s="6"/>
    </row>
    <row r="1365" spans="32:55">
      <c r="AF1365">
        <f t="shared" si="66"/>
        <v>0</v>
      </c>
      <c r="AG1365" t="str">
        <f t="shared" si="67"/>
        <v>C(=O)(NH₂)₂ (s)</v>
      </c>
      <c r="AH1365" t="s">
        <v>4723</v>
      </c>
      <c r="AI1365" t="s">
        <v>4724</v>
      </c>
      <c r="AJ1365" t="s">
        <v>4725</v>
      </c>
      <c r="AK1365" t="s">
        <v>4726</v>
      </c>
      <c r="AL1365" t="s">
        <v>4727</v>
      </c>
      <c r="AS1365" t="s">
        <v>160</v>
      </c>
      <c r="AX1365" s="6">
        <v>60.06</v>
      </c>
      <c r="AY1365" s="6" t="s">
        <v>4728</v>
      </c>
      <c r="AZ1365" s="6">
        <v>104.6</v>
      </c>
      <c r="BA1365" s="6"/>
      <c r="BB1365" s="6"/>
      <c r="BC1365" s="6"/>
    </row>
    <row r="1366" spans="32:55">
      <c r="AF1366">
        <f t="shared" si="66"/>
        <v>0</v>
      </c>
      <c r="AG1366" t="str">
        <f t="shared" si="67"/>
        <v>C(=O)(NH₂)₂ (aq)</v>
      </c>
      <c r="AH1366" t="s">
        <v>4723</v>
      </c>
      <c r="AI1366" t="s">
        <v>4724</v>
      </c>
      <c r="AJ1366" t="s">
        <v>4725</v>
      </c>
      <c r="AL1366" t="s">
        <v>4727</v>
      </c>
      <c r="AS1366" t="s">
        <v>48</v>
      </c>
      <c r="AX1366" s="6">
        <v>60.06</v>
      </c>
      <c r="AY1366" s="6" t="s">
        <v>4729</v>
      </c>
      <c r="AZ1366" s="6">
        <v>175.7</v>
      </c>
      <c r="BA1366" s="6"/>
      <c r="BB1366" s="6">
        <v>-202.8</v>
      </c>
    </row>
    <row r="1367" spans="32:55">
      <c r="AF1367">
        <f t="shared" si="66"/>
        <v>0</v>
      </c>
      <c r="AG1367" t="str">
        <f t="shared" si="67"/>
        <v>H₂NC(=O)-C(=O)NH₂ (s)</v>
      </c>
      <c r="AH1367" t="s">
        <v>4730</v>
      </c>
      <c r="AI1367" t="s">
        <v>4731</v>
      </c>
      <c r="AJ1367" t="s">
        <v>4732</v>
      </c>
      <c r="AL1367" t="s">
        <v>4733</v>
      </c>
      <c r="AS1367" t="s">
        <v>160</v>
      </c>
      <c r="AX1367" s="6">
        <v>88.07</v>
      </c>
      <c r="AY1367" s="6" t="s">
        <v>4734</v>
      </c>
      <c r="AZ1367" s="6">
        <v>117.99</v>
      </c>
      <c r="BA1367" s="6"/>
      <c r="BB1367" s="6">
        <v>-342.67</v>
      </c>
    </row>
    <row r="1368" spans="32:55">
      <c r="AF1368">
        <f t="shared" si="66"/>
        <v>0</v>
      </c>
      <c r="AG1368" t="str">
        <f t="shared" si="67"/>
        <v>C₆H₅C(=O)NH₂ (s)</v>
      </c>
      <c r="AH1368" t="s">
        <v>4735</v>
      </c>
      <c r="AI1368" t="s">
        <v>4736</v>
      </c>
      <c r="AJ1368" t="s">
        <v>4737</v>
      </c>
      <c r="AL1368" t="s">
        <v>4738</v>
      </c>
      <c r="AS1368" t="s">
        <v>160</v>
      </c>
      <c r="AX1368" s="6">
        <v>121.14</v>
      </c>
      <c r="AY1368" s="6" t="s">
        <v>4739</v>
      </c>
      <c r="AZ1368" s="6" t="s">
        <v>168</v>
      </c>
      <c r="BA1368" s="6"/>
      <c r="BB1368" s="6" t="s">
        <v>168</v>
      </c>
      <c r="BC1368" s="6"/>
    </row>
    <row r="1369" spans="32:55">
      <c r="AF1369">
        <f t="shared" si="66"/>
        <v>0</v>
      </c>
      <c r="AG1369" t="str">
        <f t="shared" si="67"/>
        <v/>
      </c>
      <c r="AH1369" t="s">
        <v>4740</v>
      </c>
      <c r="AI1369" t="s">
        <v>4741</v>
      </c>
      <c r="AJ1369" t="s">
        <v>4742</v>
      </c>
      <c r="AL1369" t="s">
        <v>4743</v>
      </c>
      <c r="AS1369" t="s">
        <v>220</v>
      </c>
      <c r="AX1369" s="6">
        <v>116.12</v>
      </c>
      <c r="AY1369" s="6" t="s">
        <v>168</v>
      </c>
      <c r="AZ1369" s="6" t="s">
        <v>168</v>
      </c>
      <c r="BA1369" s="6"/>
      <c r="BB1369" s="6" t="s">
        <v>168</v>
      </c>
      <c r="BC1369" s="6"/>
    </row>
    <row r="1370" spans="32:55">
      <c r="AF1370" t="str">
        <f t="shared" si="66"/>
        <v>1</v>
      </c>
      <c r="AG1370" t="str">
        <f t="shared" si="67"/>
        <v>HCN (g)</v>
      </c>
      <c r="AH1370" t="s">
        <v>833</v>
      </c>
      <c r="AI1370" t="s">
        <v>833</v>
      </c>
      <c r="AJ1370" t="s">
        <v>833</v>
      </c>
      <c r="AL1370" t="s">
        <v>4744</v>
      </c>
      <c r="AS1370" t="s">
        <v>47</v>
      </c>
      <c r="AX1370" s="6">
        <v>27.03</v>
      </c>
      <c r="AY1370" s="6" t="s">
        <v>4745</v>
      </c>
      <c r="AZ1370" s="6">
        <v>201.8</v>
      </c>
      <c r="BA1370" s="6"/>
      <c r="BB1370" s="6">
        <v>124.7</v>
      </c>
    </row>
    <row r="1371" spans="32:55">
      <c r="AF1371">
        <f t="shared" si="66"/>
        <v>0</v>
      </c>
      <c r="AG1371" t="str">
        <f t="shared" si="67"/>
        <v>CH₃-CN (l)</v>
      </c>
      <c r="AH1371" t="s">
        <v>4746</v>
      </c>
      <c r="AI1371" t="s">
        <v>4747</v>
      </c>
      <c r="AJ1371" t="s">
        <v>4747</v>
      </c>
      <c r="AL1371" t="s">
        <v>4748</v>
      </c>
      <c r="AS1371" t="s">
        <v>239</v>
      </c>
      <c r="AX1371" s="6">
        <v>41.05</v>
      </c>
      <c r="AY1371" s="6" t="s">
        <v>4749</v>
      </c>
      <c r="AZ1371" s="6">
        <v>149.6</v>
      </c>
      <c r="BA1371" s="6"/>
      <c r="BB1371" s="6">
        <v>86.5</v>
      </c>
    </row>
    <row r="1372" spans="32:55">
      <c r="AF1372">
        <f t="shared" si="66"/>
        <v>0</v>
      </c>
      <c r="AG1372" t="str">
        <f t="shared" si="67"/>
        <v>CH₂=CH-CN (g)</v>
      </c>
      <c r="AH1372" t="s">
        <v>4750</v>
      </c>
      <c r="AI1372" t="s">
        <v>4751</v>
      </c>
      <c r="AJ1372" t="s">
        <v>4751</v>
      </c>
      <c r="AK1372" t="s">
        <v>4752</v>
      </c>
      <c r="AL1372" t="s">
        <v>4753</v>
      </c>
      <c r="AS1372" t="s">
        <v>47</v>
      </c>
      <c r="AX1372" s="6">
        <v>53.06</v>
      </c>
      <c r="AY1372" s="6" t="s">
        <v>4754</v>
      </c>
      <c r="AZ1372" s="6">
        <v>273.83999999999997</v>
      </c>
      <c r="BA1372" s="6"/>
      <c r="BB1372" s="6">
        <v>195.31</v>
      </c>
    </row>
    <row r="1373" spans="32:55">
      <c r="AF1373">
        <f t="shared" si="66"/>
        <v>0</v>
      </c>
      <c r="AG1373" t="str">
        <f t="shared" si="67"/>
        <v>CH₃CH₂CN (l)</v>
      </c>
      <c r="AH1373" t="s">
        <v>4755</v>
      </c>
      <c r="AI1373" t="s">
        <v>4756</v>
      </c>
      <c r="AJ1373" t="s">
        <v>4756</v>
      </c>
      <c r="AL1373" t="s">
        <v>4757</v>
      </c>
      <c r="AS1373" t="s">
        <v>239</v>
      </c>
      <c r="AX1373" s="6">
        <v>55.08</v>
      </c>
      <c r="AY1373" s="6" t="s">
        <v>4758</v>
      </c>
      <c r="AZ1373" s="6">
        <v>189.33</v>
      </c>
      <c r="BA1373" s="6"/>
      <c r="BB1373" s="6">
        <v>89.16</v>
      </c>
    </row>
    <row r="1374" spans="32:55">
      <c r="AF1374">
        <f t="shared" si="66"/>
        <v>0</v>
      </c>
      <c r="AG1374" t="str">
        <f t="shared" si="67"/>
        <v>C₆H₅CN (l)</v>
      </c>
      <c r="AH1374" t="s">
        <v>4759</v>
      </c>
      <c r="AI1374" t="s">
        <v>4760</v>
      </c>
      <c r="AJ1374" t="s">
        <v>4760</v>
      </c>
      <c r="AL1374" t="s">
        <v>4761</v>
      </c>
      <c r="AS1374" t="s">
        <v>239</v>
      </c>
      <c r="AX1374" s="6">
        <v>103.12</v>
      </c>
      <c r="AY1374" s="6" t="s">
        <v>4762</v>
      </c>
      <c r="AZ1374" s="6">
        <v>209.1</v>
      </c>
      <c r="BA1374" s="6"/>
      <c r="BB1374" s="6" t="s">
        <v>168</v>
      </c>
      <c r="BC1374" s="6"/>
    </row>
    <row r="1375" spans="32:55">
      <c r="AF1375">
        <f t="shared" si="66"/>
        <v>0</v>
      </c>
      <c r="AG1375" t="str">
        <f t="shared" si="67"/>
        <v/>
      </c>
      <c r="AH1375" t="s">
        <v>4763</v>
      </c>
      <c r="AI1375" t="s">
        <v>4764</v>
      </c>
      <c r="AJ1375" t="s">
        <v>4765</v>
      </c>
      <c r="AK1375" t="s">
        <v>4766</v>
      </c>
      <c r="AL1375" t="s">
        <v>4767</v>
      </c>
      <c r="AS1375" t="s">
        <v>220</v>
      </c>
      <c r="AX1375" s="6">
        <v>108.14</v>
      </c>
      <c r="AY1375" s="6" t="s">
        <v>168</v>
      </c>
      <c r="AZ1375" s="6" t="s">
        <v>168</v>
      </c>
      <c r="BA1375" s="6"/>
      <c r="BB1375" s="6" t="s">
        <v>168</v>
      </c>
      <c r="BC1375" s="6"/>
    </row>
    <row r="1376" spans="32:55">
      <c r="AF1376">
        <f t="shared" si="66"/>
        <v>0</v>
      </c>
      <c r="AG1376" t="str">
        <f t="shared" si="67"/>
        <v/>
      </c>
      <c r="AH1376" t="s">
        <v>4768</v>
      </c>
      <c r="AI1376" t="s">
        <v>4769</v>
      </c>
      <c r="AJ1376" t="s">
        <v>4769</v>
      </c>
      <c r="AL1376" t="s">
        <v>4770</v>
      </c>
      <c r="AS1376" t="s">
        <v>220</v>
      </c>
      <c r="AX1376" s="6">
        <v>41.05</v>
      </c>
      <c r="AY1376" s="6" t="s">
        <v>168</v>
      </c>
      <c r="AZ1376" s="6" t="s">
        <v>168</v>
      </c>
      <c r="BA1376" s="6"/>
      <c r="BB1376" s="6" t="s">
        <v>168</v>
      </c>
      <c r="BC1376" s="6"/>
    </row>
    <row r="1377" spans="32:55">
      <c r="AF1377">
        <f t="shared" si="66"/>
        <v>0</v>
      </c>
      <c r="AG1377" t="str">
        <f t="shared" si="67"/>
        <v/>
      </c>
      <c r="AH1377" t="s">
        <v>4771</v>
      </c>
      <c r="AI1377" t="s">
        <v>4772</v>
      </c>
      <c r="AJ1377" t="s">
        <v>4772</v>
      </c>
      <c r="AL1377" t="s">
        <v>4773</v>
      </c>
      <c r="AS1377" t="s">
        <v>220</v>
      </c>
      <c r="AX1377" s="6">
        <v>103.12</v>
      </c>
      <c r="AY1377" s="6" t="s">
        <v>168</v>
      </c>
      <c r="AZ1377" s="6" t="s">
        <v>168</v>
      </c>
      <c r="BA1377" s="6"/>
      <c r="BB1377" s="6" t="s">
        <v>168</v>
      </c>
      <c r="BC1377" s="6"/>
    </row>
    <row r="1378" spans="32:55">
      <c r="AF1378">
        <f t="shared" si="66"/>
        <v>0</v>
      </c>
      <c r="AG1378" t="str">
        <f t="shared" si="67"/>
        <v>HCOOCH₃ (l)</v>
      </c>
      <c r="AH1378" t="s">
        <v>4774</v>
      </c>
      <c r="AI1378" t="s">
        <v>4775</v>
      </c>
      <c r="AJ1378" t="s">
        <v>4775</v>
      </c>
      <c r="AL1378" t="s">
        <v>4776</v>
      </c>
      <c r="AS1378" t="s">
        <v>239</v>
      </c>
      <c r="AX1378" s="6">
        <v>60.05</v>
      </c>
      <c r="AY1378" s="6" t="s">
        <v>4777</v>
      </c>
      <c r="AZ1378" s="6">
        <v>121.3</v>
      </c>
      <c r="BA1378" s="6"/>
      <c r="BB1378" s="6">
        <v>-299.27999999999997</v>
      </c>
    </row>
    <row r="1379" spans="32:55">
      <c r="AF1379">
        <f t="shared" si="66"/>
        <v>0</v>
      </c>
      <c r="AG1379" t="str">
        <f t="shared" si="67"/>
        <v>HCOOCH₂CH₃ (l)</v>
      </c>
      <c r="AH1379" t="s">
        <v>4778</v>
      </c>
      <c r="AI1379" t="s">
        <v>4779</v>
      </c>
      <c r="AJ1379" t="s">
        <v>4779</v>
      </c>
      <c r="AL1379" t="s">
        <v>4780</v>
      </c>
      <c r="AS1379" t="s">
        <v>239</v>
      </c>
      <c r="AX1379" s="6">
        <v>74.08</v>
      </c>
      <c r="AY1379" s="6" t="s">
        <v>168</v>
      </c>
      <c r="AZ1379" s="6" t="s">
        <v>168</v>
      </c>
      <c r="BA1379" s="6"/>
      <c r="BB1379" s="6" t="s">
        <v>168</v>
      </c>
      <c r="BC1379" s="6"/>
    </row>
    <row r="1380" spans="32:55">
      <c r="AF1380">
        <f t="shared" si="66"/>
        <v>0</v>
      </c>
      <c r="AG1380" t="str">
        <f t="shared" si="67"/>
        <v>CH₃COOCH₃ (l)</v>
      </c>
      <c r="AH1380" t="s">
        <v>4781</v>
      </c>
      <c r="AI1380" t="s">
        <v>4782</v>
      </c>
      <c r="AJ1380" t="s">
        <v>4782</v>
      </c>
      <c r="AL1380" t="s">
        <v>4783</v>
      </c>
      <c r="AS1380" t="s">
        <v>239</v>
      </c>
      <c r="AX1380" s="6">
        <v>74.08</v>
      </c>
      <c r="AY1380" s="6" t="s">
        <v>4784</v>
      </c>
      <c r="AZ1380" s="6" t="s">
        <v>168</v>
      </c>
      <c r="BA1380" s="6"/>
      <c r="BB1380" s="6" t="s">
        <v>168</v>
      </c>
      <c r="BC1380" s="6"/>
    </row>
    <row r="1381" spans="32:55">
      <c r="AF1381">
        <f t="shared" si="66"/>
        <v>0</v>
      </c>
      <c r="AG1381" t="str">
        <f t="shared" si="67"/>
        <v>CH₃ONO₂ (l)</v>
      </c>
      <c r="AH1381" t="s">
        <v>4785</v>
      </c>
      <c r="AI1381" t="s">
        <v>4786</v>
      </c>
      <c r="AJ1381" t="s">
        <v>4786</v>
      </c>
      <c r="AL1381" t="s">
        <v>4787</v>
      </c>
      <c r="AS1381" t="s">
        <v>239</v>
      </c>
      <c r="AX1381" s="6">
        <v>77.040000000000006</v>
      </c>
      <c r="AY1381" s="6" t="s">
        <v>4788</v>
      </c>
      <c r="AZ1381" s="6">
        <v>217.1</v>
      </c>
      <c r="BA1381" s="6"/>
      <c r="BB1381" s="6">
        <v>-43.4</v>
      </c>
    </row>
    <row r="1382" spans="32:55">
      <c r="AF1382">
        <f t="shared" si="66"/>
        <v>0</v>
      </c>
      <c r="AG1382" t="str">
        <f t="shared" si="67"/>
        <v>CH₃COOCH₂CH₃ (l)</v>
      </c>
      <c r="AH1382" t="s">
        <v>4789</v>
      </c>
      <c r="AI1382" t="s">
        <v>4790</v>
      </c>
      <c r="AJ1382" t="s">
        <v>4790</v>
      </c>
      <c r="AL1382" t="s">
        <v>4791</v>
      </c>
      <c r="AS1382" t="s">
        <v>239</v>
      </c>
      <c r="AX1382" s="6">
        <v>88.11</v>
      </c>
      <c r="AY1382" s="6" t="s">
        <v>4792</v>
      </c>
      <c r="AZ1382" s="6">
        <v>257.7</v>
      </c>
      <c r="BA1382" s="6"/>
      <c r="BB1382" s="6">
        <v>-332.71</v>
      </c>
    </row>
    <row r="1383" spans="32:55">
      <c r="AF1383">
        <f t="shared" si="66"/>
        <v>0</v>
      </c>
      <c r="AG1383" t="str">
        <f t="shared" si="67"/>
        <v>HCOO(CH₂)₂CH₃ (l)</v>
      </c>
      <c r="AH1383" t="s">
        <v>4793</v>
      </c>
      <c r="AI1383" t="s">
        <v>4794</v>
      </c>
      <c r="AJ1383" t="s">
        <v>4795</v>
      </c>
      <c r="AL1383" t="s">
        <v>4796</v>
      </c>
      <c r="AS1383" t="s">
        <v>239</v>
      </c>
      <c r="AX1383" s="6">
        <v>88.11</v>
      </c>
      <c r="AY1383" s="6" t="s">
        <v>4797</v>
      </c>
      <c r="AZ1383" s="6" t="s">
        <v>168</v>
      </c>
      <c r="BA1383" s="6"/>
      <c r="BB1383" s="6" t="s">
        <v>168</v>
      </c>
      <c r="BC1383" s="6"/>
    </row>
    <row r="1384" spans="32:55">
      <c r="AF1384">
        <f t="shared" si="66"/>
        <v>0</v>
      </c>
      <c r="AG1384" t="str">
        <f t="shared" si="67"/>
        <v>CH₃CH₂ONO₂ (g)</v>
      </c>
      <c r="AH1384" t="s">
        <v>4798</v>
      </c>
      <c r="AI1384" t="s">
        <v>4799</v>
      </c>
      <c r="AJ1384" t="s">
        <v>4799</v>
      </c>
      <c r="AL1384" t="s">
        <v>4800</v>
      </c>
      <c r="AS1384" t="s">
        <v>47</v>
      </c>
      <c r="AX1384" s="6">
        <v>91.07</v>
      </c>
      <c r="AY1384" s="6" t="s">
        <v>4801</v>
      </c>
      <c r="AZ1384" s="6">
        <v>348.32</v>
      </c>
      <c r="BA1384" s="6"/>
      <c r="BB1384" s="6">
        <v>-36.86</v>
      </c>
    </row>
    <row r="1385" spans="32:55">
      <c r="AF1385">
        <f t="shared" si="66"/>
        <v>0</v>
      </c>
      <c r="AG1385" t="str">
        <f t="shared" si="67"/>
        <v>CH₃COO(CH₂)₂CH₃ (l)</v>
      </c>
      <c r="AH1385" t="s">
        <v>4802</v>
      </c>
      <c r="AI1385" t="s">
        <v>4803</v>
      </c>
      <c r="AJ1385" t="s">
        <v>4804</v>
      </c>
      <c r="AL1385" t="s">
        <v>4805</v>
      </c>
      <c r="AS1385" t="s">
        <v>239</v>
      </c>
      <c r="AX1385" s="6">
        <v>102.13</v>
      </c>
      <c r="AY1385" s="6" t="s">
        <v>168</v>
      </c>
      <c r="AZ1385" s="6" t="s">
        <v>168</v>
      </c>
      <c r="BA1385" s="6"/>
      <c r="BB1385" s="6" t="s">
        <v>168</v>
      </c>
      <c r="BC1385" s="6"/>
    </row>
    <row r="1386" spans="32:55">
      <c r="AF1386">
        <f t="shared" si="66"/>
        <v>0</v>
      </c>
      <c r="AG1386" t="str">
        <f t="shared" si="67"/>
        <v>CH₃COOCH(CH₃)₂ (l)</v>
      </c>
      <c r="AH1386" t="s">
        <v>4806</v>
      </c>
      <c r="AI1386" t="s">
        <v>4807</v>
      </c>
      <c r="AJ1386" t="s">
        <v>4808</v>
      </c>
      <c r="AK1386" t="s">
        <v>4809</v>
      </c>
      <c r="AL1386" t="s">
        <v>4810</v>
      </c>
      <c r="AS1386" t="s">
        <v>239</v>
      </c>
      <c r="AX1386" s="6">
        <v>102.13</v>
      </c>
      <c r="AY1386" s="6" t="s">
        <v>4811</v>
      </c>
      <c r="AZ1386" s="6" t="s">
        <v>168</v>
      </c>
      <c r="BA1386" s="6"/>
      <c r="BB1386" s="6" t="s">
        <v>168</v>
      </c>
      <c r="BC1386" s="6"/>
    </row>
    <row r="1387" spans="32:55">
      <c r="AF1387">
        <f t="shared" si="66"/>
        <v>0</v>
      </c>
      <c r="AG1387" t="str">
        <f t="shared" si="67"/>
        <v>CH₃CH₂COOCH₃ (l)</v>
      </c>
      <c r="AH1387" t="s">
        <v>4812</v>
      </c>
      <c r="AI1387" t="s">
        <v>4813</v>
      </c>
      <c r="AJ1387" t="s">
        <v>4813</v>
      </c>
      <c r="AL1387" t="s">
        <v>4814</v>
      </c>
      <c r="AS1387" t="s">
        <v>239</v>
      </c>
      <c r="AX1387" s="6">
        <v>88.11</v>
      </c>
      <c r="AY1387" s="6" t="s">
        <v>168</v>
      </c>
      <c r="AZ1387" s="6" t="s">
        <v>168</v>
      </c>
      <c r="BA1387" s="6"/>
      <c r="BB1387" s="6" t="s">
        <v>168</v>
      </c>
      <c r="BC1387" s="6"/>
    </row>
    <row r="1388" spans="32:55">
      <c r="AF1388">
        <f t="shared" si="66"/>
        <v>0</v>
      </c>
      <c r="AG1388" t="str">
        <f t="shared" si="67"/>
        <v>CH₃CH₂COOCH₂CH₃ (l)</v>
      </c>
      <c r="AH1388" t="s">
        <v>4815</v>
      </c>
      <c r="AI1388" t="s">
        <v>4816</v>
      </c>
      <c r="AJ1388" t="s">
        <v>4816</v>
      </c>
      <c r="AL1388" t="s">
        <v>4817</v>
      </c>
      <c r="AS1388" t="s">
        <v>239</v>
      </c>
      <c r="AX1388" s="6">
        <v>102.13</v>
      </c>
      <c r="AY1388" s="6" t="s">
        <v>4818</v>
      </c>
      <c r="AZ1388" s="6" t="s">
        <v>168</v>
      </c>
      <c r="BA1388" s="6"/>
      <c r="BB1388" s="6">
        <v>-331.21</v>
      </c>
    </row>
    <row r="1389" spans="32:55">
      <c r="AF1389">
        <f t="shared" si="66"/>
        <v>0</v>
      </c>
      <c r="AG1389" t="str">
        <f t="shared" si="67"/>
        <v>CH₃(CH₂)₂COOCH₃ (l)</v>
      </c>
      <c r="AH1389" t="s">
        <v>4819</v>
      </c>
      <c r="AI1389" t="s">
        <v>4820</v>
      </c>
      <c r="AJ1389" t="s">
        <v>4821</v>
      </c>
      <c r="AL1389" t="s">
        <v>4822</v>
      </c>
      <c r="AS1389" t="s">
        <v>239</v>
      </c>
      <c r="AX1389" s="6">
        <v>102.13</v>
      </c>
      <c r="AY1389" s="6" t="s">
        <v>168</v>
      </c>
      <c r="AZ1389" s="6" t="s">
        <v>168</v>
      </c>
      <c r="BA1389" s="6"/>
      <c r="BB1389" s="6" t="s">
        <v>168</v>
      </c>
      <c r="BC1389" s="6"/>
    </row>
    <row r="1390" spans="32:55">
      <c r="AF1390">
        <f t="shared" si="66"/>
        <v>0</v>
      </c>
      <c r="AG1390" t="str">
        <f t="shared" si="67"/>
        <v>CH₃(CH₂)₂COOCH₂CH₃ (l)</v>
      </c>
      <c r="AH1390" t="s">
        <v>4823</v>
      </c>
      <c r="AI1390" t="s">
        <v>4824</v>
      </c>
      <c r="AJ1390" t="s">
        <v>4825</v>
      </c>
      <c r="AL1390" t="s">
        <v>4826</v>
      </c>
      <c r="AS1390" t="s">
        <v>239</v>
      </c>
      <c r="AX1390" s="6">
        <v>116.16</v>
      </c>
      <c r="AY1390" s="6" t="s">
        <v>168</v>
      </c>
      <c r="AZ1390" s="6" t="s">
        <v>168</v>
      </c>
      <c r="BA1390" s="6"/>
      <c r="BB1390" s="6" t="s">
        <v>168</v>
      </c>
      <c r="BC1390" s="6"/>
    </row>
    <row r="1391" spans="32:55">
      <c r="AF1391">
        <f t="shared" si="66"/>
        <v>0</v>
      </c>
      <c r="AG1391" t="str">
        <f t="shared" si="67"/>
        <v>CH₃COO(CH₂)₃CH₃ (l)</v>
      </c>
      <c r="AH1391" t="s">
        <v>4827</v>
      </c>
      <c r="AI1391" t="s">
        <v>4828</v>
      </c>
      <c r="AJ1391" t="s">
        <v>4829</v>
      </c>
      <c r="AL1391" t="s">
        <v>4830</v>
      </c>
      <c r="AS1391" t="s">
        <v>239</v>
      </c>
      <c r="AX1391" s="6">
        <v>116.16</v>
      </c>
      <c r="AY1391" s="6" t="s">
        <v>4831</v>
      </c>
      <c r="AZ1391" s="6" t="s">
        <v>168</v>
      </c>
      <c r="BA1391" s="6"/>
      <c r="BB1391" s="6" t="s">
        <v>168</v>
      </c>
      <c r="BC1391" s="6"/>
    </row>
    <row r="1392" spans="32:55">
      <c r="AF1392">
        <f t="shared" si="66"/>
        <v>0</v>
      </c>
      <c r="AG1392" t="str">
        <f t="shared" si="67"/>
        <v>CH₃COOCH(CH₃)CH₂CH₃ (l)</v>
      </c>
      <c r="AH1392" t="s">
        <v>4832</v>
      </c>
      <c r="AI1392" t="s">
        <v>4833</v>
      </c>
      <c r="AJ1392" t="s">
        <v>4834</v>
      </c>
      <c r="AL1392" t="s">
        <v>4835</v>
      </c>
      <c r="AS1392" t="s">
        <v>239</v>
      </c>
      <c r="AX1392" s="6">
        <v>116.16</v>
      </c>
      <c r="AY1392" s="6" t="s">
        <v>168</v>
      </c>
      <c r="AZ1392" s="6" t="s">
        <v>168</v>
      </c>
      <c r="BA1392" s="6"/>
      <c r="BB1392" s="6" t="s">
        <v>168</v>
      </c>
      <c r="BC1392" s="6"/>
    </row>
    <row r="1393" spans="32:55">
      <c r="AF1393">
        <f t="shared" si="66"/>
        <v>0</v>
      </c>
      <c r="AG1393" t="str">
        <f t="shared" si="67"/>
        <v>CH₃COOC(CH₃)₃ (l)</v>
      </c>
      <c r="AH1393" t="s">
        <v>4836</v>
      </c>
      <c r="AI1393" t="s">
        <v>4837</v>
      </c>
      <c r="AJ1393" t="s">
        <v>4838</v>
      </c>
      <c r="AL1393" t="s">
        <v>4839</v>
      </c>
      <c r="AS1393" t="s">
        <v>239</v>
      </c>
      <c r="AX1393" s="6">
        <v>116.16</v>
      </c>
      <c r="AY1393" s="6" t="s">
        <v>4422</v>
      </c>
      <c r="AZ1393" s="6" t="s">
        <v>168</v>
      </c>
      <c r="BA1393" s="6"/>
      <c r="BB1393" s="6" t="s">
        <v>168</v>
      </c>
      <c r="BC1393" s="6"/>
    </row>
    <row r="1394" spans="32:55">
      <c r="AF1394">
        <f t="shared" si="66"/>
        <v>0</v>
      </c>
      <c r="AG1394" t="str">
        <f t="shared" si="67"/>
        <v>C₆H₅COOCH₃ (l)</v>
      </c>
      <c r="AH1394" t="s">
        <v>4840</v>
      </c>
      <c r="AI1394" t="s">
        <v>4841</v>
      </c>
      <c r="AJ1394" t="s">
        <v>4841</v>
      </c>
      <c r="AL1394" t="s">
        <v>4842</v>
      </c>
      <c r="AS1394" t="s">
        <v>239</v>
      </c>
      <c r="AX1394" s="6">
        <v>136.15</v>
      </c>
      <c r="AY1394" s="6" t="s">
        <v>4843</v>
      </c>
      <c r="AZ1394" s="6" t="s">
        <v>168</v>
      </c>
      <c r="BA1394" s="6"/>
      <c r="BB1394" s="6" t="s">
        <v>168</v>
      </c>
      <c r="BC1394" s="6"/>
    </row>
    <row r="1395" spans="32:55">
      <c r="AF1395">
        <f t="shared" si="66"/>
        <v>0</v>
      </c>
      <c r="AG1395" t="str">
        <f t="shared" si="67"/>
        <v>C₆H₅COOCH₂CH₃ (l)</v>
      </c>
      <c r="AH1395" t="s">
        <v>4844</v>
      </c>
      <c r="AI1395" t="s">
        <v>4845</v>
      </c>
      <c r="AJ1395" t="s">
        <v>4845</v>
      </c>
      <c r="AL1395" t="s">
        <v>4846</v>
      </c>
      <c r="AS1395" t="s">
        <v>239</v>
      </c>
      <c r="AX1395" s="6">
        <v>150.18</v>
      </c>
      <c r="AY1395" s="6" t="s">
        <v>168</v>
      </c>
      <c r="AZ1395" s="6" t="s">
        <v>168</v>
      </c>
      <c r="BA1395" s="6"/>
      <c r="BB1395" s="6" t="s">
        <v>168</v>
      </c>
      <c r="BC1395" s="6"/>
    </row>
    <row r="1396" spans="32:55">
      <c r="AF1396">
        <f t="shared" si="66"/>
        <v>0</v>
      </c>
      <c r="AG1396" t="str">
        <f t="shared" si="67"/>
        <v>C₆H₅COOC₆H₅ (s)</v>
      </c>
      <c r="AH1396" t="s">
        <v>4847</v>
      </c>
      <c r="AI1396" t="s">
        <v>4848</v>
      </c>
      <c r="AJ1396" t="s">
        <v>4848</v>
      </c>
      <c r="AL1396" t="s">
        <v>4849</v>
      </c>
      <c r="AS1396" t="s">
        <v>160</v>
      </c>
      <c r="AX1396" s="6">
        <v>198.22</v>
      </c>
      <c r="AY1396" s="6" t="s">
        <v>4850</v>
      </c>
      <c r="AZ1396" s="6" t="s">
        <v>168</v>
      </c>
      <c r="BA1396" s="6"/>
      <c r="BB1396" s="6" t="s">
        <v>168</v>
      </c>
      <c r="BC1396" s="6"/>
    </row>
    <row r="1397" spans="32:55">
      <c r="AF1397">
        <f t="shared" si="66"/>
        <v>0</v>
      </c>
      <c r="AG1397" t="str">
        <f t="shared" si="67"/>
        <v>C₃H₅N₃O₉ (s, medsalpetersyre)</v>
      </c>
      <c r="AH1397" t="s">
        <v>4851</v>
      </c>
      <c r="AI1397" t="s">
        <v>4852</v>
      </c>
      <c r="AJ1397" t="s">
        <v>4852</v>
      </c>
      <c r="AL1397" t="s">
        <v>4853</v>
      </c>
      <c r="AS1397" t="s">
        <v>4854</v>
      </c>
      <c r="AX1397" s="6">
        <v>227.09</v>
      </c>
      <c r="AY1397" s="6" t="s">
        <v>4855</v>
      </c>
      <c r="AZ1397" s="6" t="s">
        <v>168</v>
      </c>
      <c r="BA1397" s="6"/>
      <c r="BB1397" s="6" t="s">
        <v>168</v>
      </c>
      <c r="BC1397" s="6"/>
    </row>
    <row r="1398" spans="32:55">
      <c r="AF1398">
        <f t="shared" si="66"/>
        <v>0</v>
      </c>
      <c r="AG1398" t="str">
        <f t="shared" si="67"/>
        <v>(CH₃COOCH₂)₂CHOCOCH₃ (med ethansyre)</v>
      </c>
      <c r="AH1398" t="s">
        <v>4856</v>
      </c>
      <c r="AI1398" t="s">
        <v>4857</v>
      </c>
      <c r="AJ1398" t="s">
        <v>4858</v>
      </c>
      <c r="AL1398" t="s">
        <v>4859</v>
      </c>
      <c r="AS1398" t="s">
        <v>4860</v>
      </c>
      <c r="AX1398" s="6">
        <v>218.2</v>
      </c>
      <c r="AY1398" s="6" t="s">
        <v>168</v>
      </c>
      <c r="AZ1398" s="6" t="s">
        <v>168</v>
      </c>
      <c r="BA1398" s="6"/>
      <c r="BB1398" s="6" t="s">
        <v>168</v>
      </c>
      <c r="BC1398" s="6"/>
    </row>
    <row r="1399" spans="32:55">
      <c r="AF1399">
        <f t="shared" si="66"/>
        <v>0</v>
      </c>
      <c r="AG1399" t="str">
        <f t="shared" si="67"/>
        <v>C₃₉H₇₄O₆ (s, med dodecansyre)</v>
      </c>
      <c r="AH1399" t="s">
        <v>4861</v>
      </c>
      <c r="AI1399" t="s">
        <v>4862</v>
      </c>
      <c r="AJ1399" t="s">
        <v>4862</v>
      </c>
      <c r="AL1399" t="s">
        <v>4863</v>
      </c>
      <c r="AS1399" t="s">
        <v>4864</v>
      </c>
      <c r="AX1399" s="6">
        <v>639</v>
      </c>
      <c r="AY1399" s="6" t="s">
        <v>4865</v>
      </c>
      <c r="AZ1399" s="6" t="s">
        <v>168</v>
      </c>
      <c r="BA1399" s="6"/>
      <c r="BB1399" s="6" t="s">
        <v>168</v>
      </c>
      <c r="BC1399" s="6"/>
    </row>
    <row r="1400" spans="32:55">
      <c r="AF1400">
        <f t="shared" si="66"/>
        <v>0</v>
      </c>
      <c r="AG1400" t="str">
        <f t="shared" si="67"/>
        <v>C₄₅H₈₆O₆ (s, med tetradecansyre)</v>
      </c>
      <c r="AH1400" t="s">
        <v>4866</v>
      </c>
      <c r="AI1400" t="s">
        <v>4867</v>
      </c>
      <c r="AJ1400" t="s">
        <v>4867</v>
      </c>
      <c r="AL1400" t="s">
        <v>4868</v>
      </c>
      <c r="AS1400" t="s">
        <v>4869</v>
      </c>
      <c r="AX1400" s="6">
        <v>723.16</v>
      </c>
      <c r="AY1400" s="6" t="s">
        <v>4870</v>
      </c>
      <c r="AZ1400" s="6" t="s">
        <v>168</v>
      </c>
      <c r="BA1400" s="6"/>
      <c r="BB1400" s="6" t="s">
        <v>168</v>
      </c>
      <c r="BC1400" s="6"/>
    </row>
    <row r="1401" spans="32:55">
      <c r="AF1401">
        <f t="shared" si="66"/>
        <v>0</v>
      </c>
      <c r="AG1401" t="str">
        <f t="shared" si="67"/>
        <v>C₅₁H₉₈O₆ (med hexadecansyre)</v>
      </c>
      <c r="AH1401" t="s">
        <v>4871</v>
      </c>
      <c r="AI1401" t="s">
        <v>4872</v>
      </c>
      <c r="AJ1401" t="s">
        <v>4872</v>
      </c>
      <c r="AL1401" t="s">
        <v>4873</v>
      </c>
      <c r="AS1401" t="s">
        <v>4874</v>
      </c>
      <c r="AX1401" s="6">
        <v>807.32</v>
      </c>
      <c r="AY1401" s="6" t="s">
        <v>168</v>
      </c>
      <c r="AZ1401" s="6" t="s">
        <v>168</v>
      </c>
      <c r="BA1401" s="6"/>
      <c r="BB1401" s="6" t="s">
        <v>168</v>
      </c>
      <c r="BC1401" s="6"/>
    </row>
    <row r="1402" spans="32:55">
      <c r="AF1402">
        <f t="shared" si="66"/>
        <v>0</v>
      </c>
      <c r="AG1402" t="str">
        <f t="shared" si="67"/>
        <v>C₅₇H₁₁₀O₆ (med octadecansyre)</v>
      </c>
      <c r="AH1402" t="s">
        <v>4875</v>
      </c>
      <c r="AI1402" t="s">
        <v>4876</v>
      </c>
      <c r="AJ1402" t="s">
        <v>4876</v>
      </c>
      <c r="AL1402" t="s">
        <v>4877</v>
      </c>
      <c r="AS1402" t="s">
        <v>4878</v>
      </c>
      <c r="AX1402" s="6">
        <v>891.48</v>
      </c>
      <c r="AY1402" s="6" t="s">
        <v>168</v>
      </c>
      <c r="AZ1402" s="6" t="s">
        <v>168</v>
      </c>
      <c r="BA1402" s="6"/>
      <c r="BB1402" s="6" t="s">
        <v>168</v>
      </c>
      <c r="BC1402" s="6"/>
    </row>
    <row r="1403" spans="32:55">
      <c r="AF1403">
        <f t="shared" si="66"/>
        <v>0</v>
      </c>
      <c r="AG1403" t="str">
        <f t="shared" si="67"/>
        <v>C₅₇H₁₀₄O₆ (m. (Z)-octadec-9-ensyre)</v>
      </c>
      <c r="AH1403" t="s">
        <v>4879</v>
      </c>
      <c r="AI1403" t="s">
        <v>4880</v>
      </c>
      <c r="AJ1403" t="s">
        <v>4880</v>
      </c>
      <c r="AL1403" t="s">
        <v>4881</v>
      </c>
      <c r="AS1403" t="s">
        <v>4882</v>
      </c>
      <c r="AX1403" s="6">
        <v>885.43</v>
      </c>
      <c r="AY1403" s="6" t="s">
        <v>168</v>
      </c>
      <c r="AZ1403" s="6" t="s">
        <v>168</v>
      </c>
      <c r="BA1403" s="6"/>
      <c r="BB1403" s="6" t="s">
        <v>168</v>
      </c>
      <c r="BC1403" s="6"/>
    </row>
    <row r="1404" spans="32:55">
      <c r="AF1404">
        <f t="shared" si="66"/>
        <v>0</v>
      </c>
      <c r="AG1404" t="str">
        <f t="shared" si="67"/>
        <v>C₅₇H₁₀₄O₆ (m.(E)-octadec-9-ensyre)</v>
      </c>
      <c r="AH1404" t="s">
        <v>4879</v>
      </c>
      <c r="AI1404" t="s">
        <v>4880</v>
      </c>
      <c r="AJ1404" t="s">
        <v>4880</v>
      </c>
      <c r="AK1404" t="s">
        <v>220</v>
      </c>
      <c r="AL1404" t="s">
        <v>4883</v>
      </c>
      <c r="AS1404" t="s">
        <v>4884</v>
      </c>
      <c r="AX1404" s="6">
        <v>885.43</v>
      </c>
      <c r="AY1404" s="6"/>
      <c r="AZ1404" s="6"/>
      <c r="BA1404" s="6"/>
      <c r="BB1404" s="6"/>
      <c r="BC1404" s="6"/>
    </row>
    <row r="1405" spans="32:55">
      <c r="AF1405">
        <f t="shared" si="66"/>
        <v>0</v>
      </c>
      <c r="AG1405" t="str">
        <f t="shared" si="67"/>
        <v>C₃H₉O₆P (aq)</v>
      </c>
      <c r="AH1405" t="s">
        <v>4885</v>
      </c>
      <c r="AI1405" t="s">
        <v>4886</v>
      </c>
      <c r="AJ1405" t="s">
        <v>4886</v>
      </c>
      <c r="AL1405" t="s">
        <v>4887</v>
      </c>
      <c r="AS1405" t="s">
        <v>48</v>
      </c>
      <c r="AX1405" s="6">
        <v>172.07</v>
      </c>
      <c r="AY1405" s="6" t="s">
        <v>168</v>
      </c>
      <c r="AZ1405" s="6" t="s">
        <v>168</v>
      </c>
      <c r="BA1405" s="6"/>
      <c r="BB1405" s="6">
        <v>-1404.06</v>
      </c>
    </row>
    <row r="1406" spans="32:55">
      <c r="AF1406">
        <f t="shared" si="66"/>
        <v>0</v>
      </c>
      <c r="AG1406" t="str">
        <f t="shared" si="67"/>
        <v>C₃H₈O₆P⁻ (aq)</v>
      </c>
      <c r="AH1406" t="s">
        <v>4888</v>
      </c>
      <c r="AI1406" t="s">
        <v>4889</v>
      </c>
      <c r="AJ1406" t="s">
        <v>4889</v>
      </c>
      <c r="AL1406" t="s">
        <v>4890</v>
      </c>
      <c r="AS1406" t="s">
        <v>48</v>
      </c>
      <c r="AX1406" s="6" t="s">
        <v>168</v>
      </c>
      <c r="AY1406" s="6" t="s">
        <v>168</v>
      </c>
      <c r="AZ1406" s="6" t="s">
        <v>168</v>
      </c>
      <c r="BA1406" s="6"/>
      <c r="BB1406" s="6">
        <v>-1397.04</v>
      </c>
    </row>
    <row r="1407" spans="32:55">
      <c r="AF1407">
        <f t="shared" si="66"/>
        <v>0</v>
      </c>
      <c r="AG1407" t="str">
        <f t="shared" si="67"/>
        <v>C₃H₇O₆P²⁻ (aq)</v>
      </c>
      <c r="AH1407" t="s">
        <v>4891</v>
      </c>
      <c r="AI1407" t="s">
        <v>4892</v>
      </c>
      <c r="AJ1407" t="s">
        <v>4892</v>
      </c>
      <c r="AL1407" t="s">
        <v>4893</v>
      </c>
      <c r="AS1407" t="s">
        <v>48</v>
      </c>
      <c r="AX1407" s="6" t="s">
        <v>168</v>
      </c>
      <c r="AY1407" s="6" t="s">
        <v>168</v>
      </c>
      <c r="AZ1407" s="6" t="s">
        <v>168</v>
      </c>
      <c r="BA1407" s="6"/>
      <c r="BB1407" s="6">
        <v>-1358.96</v>
      </c>
    </row>
    <row r="1408" spans="32:55">
      <c r="AF1408" t="str">
        <f t="shared" si="66"/>
        <v>1</v>
      </c>
      <c r="AG1408" t="str">
        <f t="shared" si="67"/>
        <v>C₆H₁₃O₉P (aq)</v>
      </c>
      <c r="AH1408" t="s">
        <v>4894</v>
      </c>
      <c r="AI1408" t="s">
        <v>4895</v>
      </c>
      <c r="AJ1408" t="s">
        <v>4895</v>
      </c>
      <c r="AL1408" t="s">
        <v>4896</v>
      </c>
      <c r="AS1408" t="s">
        <v>48</v>
      </c>
      <c r="AX1408" s="6">
        <v>260.14</v>
      </c>
      <c r="AY1408" s="6" t="s">
        <v>168</v>
      </c>
      <c r="AZ1408" s="6" t="s">
        <v>168</v>
      </c>
      <c r="BA1408" s="6"/>
      <c r="BB1408" s="6">
        <v>-1789.5</v>
      </c>
    </row>
    <row r="1409" spans="32:55">
      <c r="AF1409" t="str">
        <f t="shared" si="66"/>
        <v>1</v>
      </c>
      <c r="AG1409" t="str">
        <f t="shared" si="67"/>
        <v>C₆H₁₂O₉P⁻ (aq)</v>
      </c>
      <c r="AH1409" t="s">
        <v>4897</v>
      </c>
      <c r="AI1409" t="s">
        <v>4898</v>
      </c>
      <c r="AJ1409" t="s">
        <v>4898</v>
      </c>
      <c r="AL1409" t="s">
        <v>4899</v>
      </c>
      <c r="AS1409" t="s">
        <v>48</v>
      </c>
      <c r="AX1409" s="6" t="s">
        <v>168</v>
      </c>
      <c r="AY1409" s="6" t="s">
        <v>168</v>
      </c>
      <c r="AZ1409" s="6" t="s">
        <v>168</v>
      </c>
      <c r="BA1409" s="6"/>
      <c r="BB1409" s="6">
        <v>-1783.22</v>
      </c>
    </row>
    <row r="1410" spans="32:55">
      <c r="AF1410" t="str">
        <f t="shared" si="66"/>
        <v>1</v>
      </c>
      <c r="AG1410" t="str">
        <f t="shared" si="67"/>
        <v>C₆H₁₁O₉P²⁻ (aq)</v>
      </c>
      <c r="AH1410" t="s">
        <v>4900</v>
      </c>
      <c r="AI1410" t="s">
        <v>4901</v>
      </c>
      <c r="AJ1410" t="s">
        <v>4901</v>
      </c>
      <c r="AL1410" t="s">
        <v>4902</v>
      </c>
      <c r="AS1410" t="s">
        <v>48</v>
      </c>
      <c r="AX1410" s="6" t="s">
        <v>168</v>
      </c>
      <c r="AY1410" s="6" t="s">
        <v>168</v>
      </c>
      <c r="AZ1410" s="6" t="s">
        <v>168</v>
      </c>
      <c r="BA1410" s="6"/>
      <c r="BB1410" s="6">
        <v>-1746.11</v>
      </c>
    </row>
    <row r="1411" spans="32:55">
      <c r="AF1411" t="str">
        <f t="shared" ref="AF1411:AF1474" si="68">IF(OR(AG1411="",COUNTIF(AG:AG, AG1411) = 1),0, "1")</f>
        <v>1</v>
      </c>
      <c r="AG1411" t="str">
        <f t="shared" ref="AG1411:AG1474" si="69">IF(AS1411 &lt;&gt; "",AH1411&amp;" ("&amp;AS1411 &amp;")","")</f>
        <v>C₆H₁₃O₉P (aq)</v>
      </c>
      <c r="AH1411" t="s">
        <v>4894</v>
      </c>
      <c r="AI1411" t="s">
        <v>4895</v>
      </c>
      <c r="AJ1411" t="s">
        <v>4895</v>
      </c>
      <c r="AL1411" t="s">
        <v>4903</v>
      </c>
      <c r="AS1411" t="s">
        <v>48</v>
      </c>
      <c r="AX1411" s="6">
        <v>260.14</v>
      </c>
      <c r="AY1411" s="6" t="s">
        <v>168</v>
      </c>
      <c r="AZ1411" s="6" t="s">
        <v>168</v>
      </c>
      <c r="BA1411" s="6"/>
      <c r="BB1411" s="6">
        <v>-1797.45</v>
      </c>
    </row>
    <row r="1412" spans="32:55">
      <c r="AF1412" t="str">
        <f t="shared" si="68"/>
        <v>1</v>
      </c>
      <c r="AG1412" t="str">
        <f t="shared" si="69"/>
        <v>C₆H₁₂O₉P⁻ (aq)</v>
      </c>
      <c r="AH1412" t="s">
        <v>4897</v>
      </c>
      <c r="AI1412" t="s">
        <v>4898</v>
      </c>
      <c r="AJ1412" t="s">
        <v>4898</v>
      </c>
      <c r="AL1412" t="s">
        <v>4904</v>
      </c>
      <c r="AS1412" t="s">
        <v>48</v>
      </c>
      <c r="AX1412" s="6" t="s">
        <v>168</v>
      </c>
      <c r="AY1412" s="6" t="s">
        <v>168</v>
      </c>
      <c r="AZ1412" s="6" t="s">
        <v>168</v>
      </c>
      <c r="BA1412" s="6"/>
      <c r="BB1412" s="6">
        <v>-1789.08</v>
      </c>
    </row>
    <row r="1413" spans="32:55">
      <c r="AF1413" t="str">
        <f t="shared" si="68"/>
        <v>1</v>
      </c>
      <c r="AG1413" t="str">
        <f t="shared" si="69"/>
        <v>C₆H₁₁O₉P²⁻ (aq)</v>
      </c>
      <c r="AH1413" t="s">
        <v>4900</v>
      </c>
      <c r="AI1413" t="s">
        <v>4901</v>
      </c>
      <c r="AJ1413" t="s">
        <v>4901</v>
      </c>
      <c r="AL1413" t="s">
        <v>4905</v>
      </c>
      <c r="AS1413" t="s">
        <v>48</v>
      </c>
      <c r="AX1413" s="6" t="s">
        <v>168</v>
      </c>
      <c r="AY1413" s="6" t="s">
        <v>168</v>
      </c>
      <c r="AZ1413" s="6" t="s">
        <v>168</v>
      </c>
      <c r="BA1413" s="6"/>
      <c r="BB1413" s="6">
        <v>-1753.51</v>
      </c>
    </row>
    <row r="1414" spans="32:55">
      <c r="AF1414" t="str">
        <f t="shared" si="68"/>
        <v>1</v>
      </c>
      <c r="AG1414" t="str">
        <f t="shared" si="69"/>
        <v>NH₂CH(CH₃)COOH (s)</v>
      </c>
      <c r="AH1414" t="s">
        <v>4906</v>
      </c>
      <c r="AI1414" t="s">
        <v>4907</v>
      </c>
      <c r="AJ1414" t="s">
        <v>4908</v>
      </c>
      <c r="AL1414" t="s">
        <v>4909</v>
      </c>
      <c r="AS1414" t="s">
        <v>160</v>
      </c>
      <c r="AX1414" s="6">
        <v>89.09</v>
      </c>
      <c r="AY1414" s="6" t="s">
        <v>4910</v>
      </c>
      <c r="AZ1414" s="6">
        <v>129.19999999999999</v>
      </c>
      <c r="BA1414" s="6"/>
      <c r="BB1414" s="6">
        <v>-370.2</v>
      </c>
    </row>
    <row r="1415" spans="32:55">
      <c r="AF1415">
        <f t="shared" si="68"/>
        <v>0</v>
      </c>
      <c r="AG1415" t="str">
        <f t="shared" si="69"/>
        <v>⁺NH₃CH(CH₃)COO⁻ (aq)</v>
      </c>
      <c r="AH1415" t="s">
        <v>4911</v>
      </c>
      <c r="AI1415" t="s">
        <v>4912</v>
      </c>
      <c r="AJ1415" t="s">
        <v>4913</v>
      </c>
      <c r="AL1415" t="s">
        <v>4909</v>
      </c>
      <c r="AS1415" t="s">
        <v>48</v>
      </c>
      <c r="AX1415" s="6">
        <v>89.09</v>
      </c>
      <c r="AY1415" s="6" t="s">
        <v>4914</v>
      </c>
      <c r="AZ1415" s="6">
        <v>158.99</v>
      </c>
      <c r="BA1415" s="6"/>
      <c r="BB1415" s="6">
        <v>-371.16</v>
      </c>
    </row>
    <row r="1416" spans="32:55">
      <c r="AF1416">
        <f t="shared" si="68"/>
        <v>0</v>
      </c>
      <c r="AG1416" t="str">
        <f t="shared" si="69"/>
        <v>⁺NH₃CH(CH₃)COOH (aq)</v>
      </c>
      <c r="AH1416" t="s">
        <v>4915</v>
      </c>
      <c r="AI1416" t="s">
        <v>4916</v>
      </c>
      <c r="AJ1416" t="s">
        <v>4917</v>
      </c>
      <c r="AL1416" t="s">
        <v>4918</v>
      </c>
      <c r="AS1416" t="s">
        <v>48</v>
      </c>
      <c r="AX1416" s="6" t="s">
        <v>168</v>
      </c>
      <c r="AY1416" s="6" t="s">
        <v>4919</v>
      </c>
      <c r="AZ1416" s="6">
        <v>192.05</v>
      </c>
      <c r="BA1416" s="6"/>
      <c r="BB1416" s="6">
        <v>-384.55</v>
      </c>
    </row>
    <row r="1417" spans="32:55">
      <c r="AF1417">
        <f t="shared" si="68"/>
        <v>0</v>
      </c>
      <c r="AG1417" t="str">
        <f t="shared" si="69"/>
        <v>NH₂CH(CH₃)COO⁻ (aq)</v>
      </c>
      <c r="AH1417" t="s">
        <v>4920</v>
      </c>
      <c r="AI1417" t="s">
        <v>4921</v>
      </c>
      <c r="AJ1417" t="s">
        <v>4922</v>
      </c>
      <c r="AL1417" t="s">
        <v>4923</v>
      </c>
      <c r="AS1417" t="s">
        <v>48</v>
      </c>
      <c r="AX1417" s="6" t="s">
        <v>168</v>
      </c>
      <c r="AY1417" s="6" t="s">
        <v>4924</v>
      </c>
      <c r="AZ1417" s="6">
        <v>121.75</v>
      </c>
      <c r="BA1417" s="6"/>
      <c r="BB1417" s="6">
        <v>-314.85000000000002</v>
      </c>
    </row>
    <row r="1418" spans="32:55">
      <c r="AF1418" t="str">
        <f t="shared" si="68"/>
        <v>1</v>
      </c>
      <c r="AG1418" t="str">
        <f t="shared" si="69"/>
        <v>NH₂CH(CH₃)COOH (s)</v>
      </c>
      <c r="AH1418" t="s">
        <v>4906</v>
      </c>
      <c r="AI1418" t="s">
        <v>4907</v>
      </c>
      <c r="AJ1418" t="s">
        <v>4908</v>
      </c>
      <c r="AL1418" t="s">
        <v>4925</v>
      </c>
      <c r="AS1418" t="s">
        <v>160</v>
      </c>
      <c r="AX1418" s="6">
        <v>89.09</v>
      </c>
      <c r="AY1418" s="6" t="s">
        <v>4926</v>
      </c>
      <c r="AZ1418" s="6">
        <v>132.21</v>
      </c>
      <c r="BA1418" s="6"/>
      <c r="BB1418" s="6">
        <v>-371.96</v>
      </c>
    </row>
    <row r="1419" spans="32:55">
      <c r="AF1419">
        <f t="shared" si="68"/>
        <v>0</v>
      </c>
      <c r="AG1419" t="str">
        <f t="shared" si="69"/>
        <v>NH₂CHCOOH(CH₂)₃-NH-C(NH₂)=NH (s)</v>
      </c>
      <c r="AH1419" t="s">
        <v>4927</v>
      </c>
      <c r="AI1419" t="s">
        <v>4928</v>
      </c>
      <c r="AJ1419" t="s">
        <v>4929</v>
      </c>
      <c r="AL1419" t="s">
        <v>4930</v>
      </c>
      <c r="AS1419" t="s">
        <v>160</v>
      </c>
      <c r="AX1419" s="6">
        <v>174.2</v>
      </c>
      <c r="AY1419" s="6" t="s">
        <v>4931</v>
      </c>
      <c r="AZ1419" s="6">
        <v>250.62</v>
      </c>
      <c r="BA1419" s="6"/>
      <c r="BB1419" s="6">
        <v>-656.89</v>
      </c>
    </row>
    <row r="1420" spans="32:55">
      <c r="AF1420" t="str">
        <f t="shared" si="68"/>
        <v>1</v>
      </c>
      <c r="AG1420" t="str">
        <f t="shared" si="69"/>
        <v>⁺NH₃CH(R)COO⁻ (aq)</v>
      </c>
      <c r="AH1420" t="s">
        <v>4932</v>
      </c>
      <c r="AI1420" t="s">
        <v>4933</v>
      </c>
      <c r="AJ1420" t="s">
        <v>4934</v>
      </c>
      <c r="AL1420" t="s">
        <v>4930</v>
      </c>
      <c r="AS1420" t="s">
        <v>48</v>
      </c>
      <c r="AX1420" s="6">
        <v>174.2</v>
      </c>
      <c r="AY1420" s="6" t="s">
        <v>4935</v>
      </c>
      <c r="AZ1420" s="6" t="s">
        <v>168</v>
      </c>
      <c r="BA1420" s="6"/>
      <c r="BB1420" s="6" t="s">
        <v>168</v>
      </c>
      <c r="BC1420" s="6"/>
    </row>
    <row r="1421" spans="32:55">
      <c r="AF1421">
        <f t="shared" si="68"/>
        <v>0</v>
      </c>
      <c r="AG1421" t="str">
        <f t="shared" si="69"/>
        <v>NH₂CH(CH₂-CO-NH₂)COOH (s)</v>
      </c>
      <c r="AH1421" t="s">
        <v>4936</v>
      </c>
      <c r="AI1421" t="s">
        <v>4937</v>
      </c>
      <c r="AJ1421" t="s">
        <v>4938</v>
      </c>
      <c r="AL1421" t="s">
        <v>4939</v>
      </c>
      <c r="AS1421" t="s">
        <v>160</v>
      </c>
      <c r="AX1421" s="6">
        <v>132.12</v>
      </c>
      <c r="AY1421" s="6" t="s">
        <v>4940</v>
      </c>
      <c r="AZ1421" s="6">
        <v>174.47</v>
      </c>
      <c r="BA1421" s="6"/>
      <c r="BB1421" s="6">
        <v>-530.95000000000005</v>
      </c>
    </row>
    <row r="1422" spans="32:55">
      <c r="AF1422">
        <f t="shared" si="68"/>
        <v>0</v>
      </c>
      <c r="AG1422" t="str">
        <f t="shared" si="69"/>
        <v>⁺NH₃CH(CH₂-CO-NH₂)COO⁻ (aq)</v>
      </c>
      <c r="AH1422" t="s">
        <v>4941</v>
      </c>
      <c r="AI1422" t="s">
        <v>4942</v>
      </c>
      <c r="AJ1422" t="s">
        <v>4943</v>
      </c>
      <c r="AL1422" t="s">
        <v>4939</v>
      </c>
      <c r="AS1422" t="s">
        <v>48</v>
      </c>
      <c r="AX1422" s="6">
        <v>132.12</v>
      </c>
      <c r="AY1422" s="6" t="s">
        <v>4944</v>
      </c>
      <c r="AZ1422" s="6">
        <v>238.91</v>
      </c>
      <c r="BA1422" s="6"/>
      <c r="BB1422" s="6">
        <v>-525.92999999999995</v>
      </c>
    </row>
    <row r="1423" spans="32:55">
      <c r="AF1423">
        <f t="shared" si="68"/>
        <v>0</v>
      </c>
      <c r="AG1423" t="str">
        <f t="shared" si="69"/>
        <v>⁺NH₃CH(R)COO⁻∙H₂O (s)</v>
      </c>
      <c r="AH1423" t="s">
        <v>4945</v>
      </c>
      <c r="AI1423" t="s">
        <v>4946</v>
      </c>
      <c r="AJ1423" t="s">
        <v>4947</v>
      </c>
      <c r="AL1423" t="s">
        <v>4948</v>
      </c>
      <c r="AS1423" t="s">
        <v>160</v>
      </c>
      <c r="AX1423" s="6">
        <v>150.13999999999999</v>
      </c>
      <c r="AY1423" s="6" t="s">
        <v>4949</v>
      </c>
      <c r="AZ1423" s="6">
        <v>209.62</v>
      </c>
      <c r="BA1423" s="6"/>
      <c r="BB1423" s="6">
        <v>-767.35</v>
      </c>
    </row>
    <row r="1424" spans="32:55">
      <c r="AF1424">
        <f t="shared" si="68"/>
        <v>0</v>
      </c>
      <c r="AG1424" t="str">
        <f t="shared" si="69"/>
        <v>NH₂CHCOOH(CH₂-COOH) (s)</v>
      </c>
      <c r="AH1424" t="s">
        <v>4950</v>
      </c>
      <c r="AI1424" t="s">
        <v>4951</v>
      </c>
      <c r="AJ1424" t="s">
        <v>4952</v>
      </c>
      <c r="AL1424" t="s">
        <v>4953</v>
      </c>
      <c r="AS1424" t="s">
        <v>160</v>
      </c>
      <c r="AX1424" s="6">
        <v>133.1</v>
      </c>
      <c r="AY1424" s="6" t="s">
        <v>4954</v>
      </c>
      <c r="AZ1424" s="6">
        <v>170.12</v>
      </c>
      <c r="BA1424" s="6"/>
      <c r="BB1424" s="6">
        <v>-729.35</v>
      </c>
    </row>
    <row r="1425" spans="32:55">
      <c r="AF1425">
        <f t="shared" si="68"/>
        <v>0</v>
      </c>
      <c r="AG1425" t="str">
        <f t="shared" si="69"/>
        <v>⁺NH₃CH(CH₂-COOH)COO⁻ (aq)</v>
      </c>
      <c r="AH1425" t="s">
        <v>4955</v>
      </c>
      <c r="AI1425" t="s">
        <v>4956</v>
      </c>
      <c r="AJ1425" t="s">
        <v>4957</v>
      </c>
      <c r="AL1425" t="s">
        <v>4953</v>
      </c>
      <c r="AS1425" t="s">
        <v>48</v>
      </c>
      <c r="AX1425" s="6">
        <v>133.1</v>
      </c>
      <c r="AY1425" s="6" t="s">
        <v>4958</v>
      </c>
      <c r="AZ1425" s="6">
        <v>216.31</v>
      </c>
      <c r="BA1425" s="6"/>
      <c r="BB1425" s="6">
        <v>-718.06</v>
      </c>
    </row>
    <row r="1426" spans="32:55">
      <c r="AF1426">
        <f t="shared" si="68"/>
        <v>0</v>
      </c>
      <c r="AG1426" t="str">
        <f t="shared" si="69"/>
        <v>NH₂CH(CH₂-SH)COOH (s)</v>
      </c>
      <c r="AH1426" t="s">
        <v>4959</v>
      </c>
      <c r="AI1426" t="s">
        <v>4960</v>
      </c>
      <c r="AJ1426" t="s">
        <v>4961</v>
      </c>
      <c r="AL1426" t="s">
        <v>4962</v>
      </c>
      <c r="AS1426" t="s">
        <v>160</v>
      </c>
      <c r="AX1426" s="6">
        <v>121.16</v>
      </c>
      <c r="AY1426" s="6" t="s">
        <v>4376</v>
      </c>
      <c r="AZ1426" s="6">
        <v>169.87</v>
      </c>
      <c r="BA1426" s="6"/>
      <c r="BB1426" s="6">
        <v>-342.67</v>
      </c>
    </row>
    <row r="1427" spans="32:55">
      <c r="AF1427">
        <f t="shared" si="68"/>
        <v>0</v>
      </c>
      <c r="AG1427" t="str">
        <f t="shared" si="69"/>
        <v>⁺NH₃CH(CH₂-SH)COO⁻ (aq)</v>
      </c>
      <c r="AH1427" t="s">
        <v>4963</v>
      </c>
      <c r="AI1427" t="s">
        <v>4964</v>
      </c>
      <c r="AJ1427" t="s">
        <v>4965</v>
      </c>
      <c r="AL1427" t="s">
        <v>4962</v>
      </c>
      <c r="AS1427" t="s">
        <v>48</v>
      </c>
      <c r="AX1427" s="6">
        <v>121.16</v>
      </c>
      <c r="AY1427" s="6" t="s">
        <v>168</v>
      </c>
      <c r="AZ1427" s="6" t="s">
        <v>168</v>
      </c>
      <c r="BA1427" s="6"/>
      <c r="BB1427" s="6">
        <v>-338.82</v>
      </c>
    </row>
    <row r="1428" spans="32:55">
      <c r="AF1428">
        <f t="shared" si="68"/>
        <v>0</v>
      </c>
      <c r="AG1428" t="str">
        <f t="shared" si="69"/>
        <v>NH₂CHCOOH((CH₂)₂-CO-NH₂) (s)</v>
      </c>
      <c r="AH1428" t="s">
        <v>4966</v>
      </c>
      <c r="AI1428" t="s">
        <v>4967</v>
      </c>
      <c r="AJ1428" t="s">
        <v>4968</v>
      </c>
      <c r="AL1428" t="s">
        <v>4969</v>
      </c>
      <c r="AS1428" t="s">
        <v>160</v>
      </c>
      <c r="AX1428" s="6">
        <v>146.15</v>
      </c>
      <c r="AY1428" s="6" t="s">
        <v>4970</v>
      </c>
      <c r="AZ1428" s="6">
        <v>195.1</v>
      </c>
      <c r="BA1428" s="6"/>
      <c r="BB1428" s="6">
        <v>-532.20000000000005</v>
      </c>
    </row>
    <row r="1429" spans="32:55">
      <c r="AF1429" t="str">
        <f t="shared" si="68"/>
        <v>1</v>
      </c>
      <c r="AG1429" t="str">
        <f t="shared" si="69"/>
        <v>⁺NH₃CH(R)COO⁻ (aq)</v>
      </c>
      <c r="AH1429" t="s">
        <v>4932</v>
      </c>
      <c r="AI1429" t="s">
        <v>4933</v>
      </c>
      <c r="AJ1429" t="s">
        <v>4934</v>
      </c>
      <c r="AL1429" t="s">
        <v>4969</v>
      </c>
      <c r="AS1429" t="s">
        <v>48</v>
      </c>
      <c r="AX1429" s="6">
        <v>146.15</v>
      </c>
      <c r="AY1429" s="6" t="s">
        <v>4971</v>
      </c>
      <c r="AZ1429" s="6">
        <v>251</v>
      </c>
      <c r="BA1429" s="6"/>
      <c r="BB1429" s="6">
        <v>-528.02</v>
      </c>
    </row>
    <row r="1430" spans="32:55">
      <c r="AF1430">
        <f t="shared" si="68"/>
        <v>0</v>
      </c>
      <c r="AG1430" t="str">
        <f t="shared" si="69"/>
        <v>NH₂CHCOOH((CH₂)₂-COOH) (s)</v>
      </c>
      <c r="AH1430" t="s">
        <v>4972</v>
      </c>
      <c r="AI1430" t="s">
        <v>4973</v>
      </c>
      <c r="AJ1430" t="s">
        <v>4974</v>
      </c>
      <c r="AL1430" t="s">
        <v>4975</v>
      </c>
      <c r="AS1430" t="s">
        <v>160</v>
      </c>
      <c r="AX1430" s="6">
        <v>147.13</v>
      </c>
      <c r="AY1430" s="6" t="s">
        <v>4976</v>
      </c>
      <c r="AZ1430" s="6">
        <v>188.2</v>
      </c>
      <c r="BA1430" s="6"/>
      <c r="BB1430" s="6">
        <v>-730.94</v>
      </c>
    </row>
    <row r="1431" spans="32:55">
      <c r="AF1431">
        <f t="shared" si="68"/>
        <v>0</v>
      </c>
      <c r="AG1431" t="str">
        <f t="shared" si="69"/>
        <v>⁺NH₃CH((CH₂)₂-COOH)COO- (s)</v>
      </c>
      <c r="AH1431" t="s">
        <v>4977</v>
      </c>
      <c r="AI1431" t="s">
        <v>4978</v>
      </c>
      <c r="AJ1431" t="s">
        <v>4979</v>
      </c>
      <c r="AL1431" t="s">
        <v>4975</v>
      </c>
      <c r="AS1431" t="s">
        <v>160</v>
      </c>
      <c r="AX1431" s="6">
        <v>147.13</v>
      </c>
      <c r="AY1431" s="6" t="s">
        <v>4980</v>
      </c>
      <c r="AZ1431" s="6">
        <v>248.95</v>
      </c>
      <c r="BA1431" s="6"/>
      <c r="BB1431" s="6">
        <v>-721.87</v>
      </c>
    </row>
    <row r="1432" spans="32:55">
      <c r="AF1432">
        <f t="shared" si="68"/>
        <v>0</v>
      </c>
      <c r="AG1432" t="str">
        <f t="shared" si="69"/>
        <v>NH₂CHCOOH(CH₂)₂-COOH (s)</v>
      </c>
      <c r="AH1432" t="s">
        <v>4981</v>
      </c>
      <c r="AI1432" t="s">
        <v>4982</v>
      </c>
      <c r="AJ1432" t="s">
        <v>4974</v>
      </c>
      <c r="AL1432" t="s">
        <v>4983</v>
      </c>
      <c r="AS1432" t="s">
        <v>160</v>
      </c>
      <c r="AX1432" s="6">
        <v>147.13</v>
      </c>
      <c r="AY1432" s="6" t="s">
        <v>4984</v>
      </c>
      <c r="AZ1432" s="6">
        <v>191.21</v>
      </c>
      <c r="BA1432" s="6"/>
      <c r="BB1432" s="6">
        <v>-727.47</v>
      </c>
    </row>
    <row r="1433" spans="32:55">
      <c r="AF1433">
        <f t="shared" si="68"/>
        <v>0</v>
      </c>
      <c r="AG1433" t="str">
        <f t="shared" si="69"/>
        <v>NH₂CH₂COOH (s)</v>
      </c>
      <c r="AH1433" t="s">
        <v>4985</v>
      </c>
      <c r="AI1433" t="s">
        <v>4986</v>
      </c>
      <c r="AJ1433" t="s">
        <v>4986</v>
      </c>
      <c r="AL1433" t="s">
        <v>4987</v>
      </c>
      <c r="AS1433" t="s">
        <v>160</v>
      </c>
      <c r="AX1433" s="6">
        <v>75.069999999999993</v>
      </c>
      <c r="AY1433" s="6" t="s">
        <v>4988</v>
      </c>
      <c r="AZ1433" s="6">
        <v>103.51</v>
      </c>
      <c r="BA1433" s="6"/>
      <c r="BB1433" s="6">
        <v>-377.69</v>
      </c>
    </row>
    <row r="1434" spans="32:55">
      <c r="AF1434">
        <f t="shared" si="68"/>
        <v>0</v>
      </c>
      <c r="AG1434" t="str">
        <f t="shared" si="69"/>
        <v>⁺NH₃CH₂COO⁻ (aq)</v>
      </c>
      <c r="AH1434" t="s">
        <v>4989</v>
      </c>
      <c r="AI1434" t="s">
        <v>4990</v>
      </c>
      <c r="AJ1434" t="s">
        <v>4990</v>
      </c>
      <c r="AL1434" t="s">
        <v>4987</v>
      </c>
      <c r="AS1434" t="s">
        <v>48</v>
      </c>
      <c r="AX1434" s="6">
        <v>75.069999999999993</v>
      </c>
      <c r="AY1434" s="6" t="s">
        <v>4991</v>
      </c>
      <c r="AZ1434" s="6">
        <v>158.37</v>
      </c>
      <c r="BA1434" s="6"/>
      <c r="BB1434" s="6">
        <v>-379.91</v>
      </c>
    </row>
    <row r="1435" spans="32:55">
      <c r="AF1435">
        <f t="shared" si="68"/>
        <v>0</v>
      </c>
      <c r="AG1435" t="str">
        <f t="shared" si="69"/>
        <v>NH₂CH₂COO⁻ (aq)</v>
      </c>
      <c r="AH1435" t="s">
        <v>4992</v>
      </c>
      <c r="AI1435" t="s">
        <v>4993</v>
      </c>
      <c r="AJ1435" t="s">
        <v>4993</v>
      </c>
      <c r="AL1435" t="s">
        <v>4994</v>
      </c>
      <c r="AS1435" t="s">
        <v>48</v>
      </c>
      <c r="AX1435" s="6" t="s">
        <v>168</v>
      </c>
      <c r="AY1435" s="6" t="s">
        <v>4995</v>
      </c>
      <c r="AZ1435" s="6">
        <v>120.5</v>
      </c>
      <c r="BA1435" s="6"/>
      <c r="BB1435" s="6">
        <v>-324.08999999999997</v>
      </c>
    </row>
    <row r="1436" spans="32:55">
      <c r="AF1436">
        <f t="shared" si="68"/>
        <v>0</v>
      </c>
      <c r="AG1436" t="str">
        <f t="shared" si="69"/>
        <v>⁺NH₃CH₂COOH (aq)</v>
      </c>
      <c r="AH1436" t="s">
        <v>4996</v>
      </c>
      <c r="AI1436" t="s">
        <v>4997</v>
      </c>
      <c r="AJ1436" t="s">
        <v>4997</v>
      </c>
      <c r="AL1436" t="s">
        <v>4998</v>
      </c>
      <c r="AS1436" t="s">
        <v>48</v>
      </c>
      <c r="AX1436" s="6" t="s">
        <v>168</v>
      </c>
      <c r="AY1436" s="6" t="s">
        <v>4999</v>
      </c>
      <c r="AZ1436" s="6">
        <v>189.54</v>
      </c>
      <c r="BA1436" s="6"/>
      <c r="BB1436" s="6">
        <v>-393.3</v>
      </c>
    </row>
    <row r="1437" spans="32:55">
      <c r="AF1437">
        <f t="shared" si="68"/>
        <v>0</v>
      </c>
      <c r="AG1437" t="str">
        <f t="shared" si="69"/>
        <v>C₆H₉N₃O₂ (s)</v>
      </c>
      <c r="AH1437" t="s">
        <v>5000</v>
      </c>
      <c r="AI1437" t="s">
        <v>5001</v>
      </c>
      <c r="AJ1437" t="s">
        <v>5001</v>
      </c>
      <c r="AL1437" t="s">
        <v>5002</v>
      </c>
      <c r="AS1437" t="s">
        <v>160</v>
      </c>
      <c r="AX1437" s="6">
        <v>155.16</v>
      </c>
      <c r="AY1437" s="6"/>
      <c r="AZ1437" s="6"/>
      <c r="BA1437" s="6"/>
      <c r="BB1437" s="6"/>
      <c r="BC1437" s="6"/>
    </row>
    <row r="1438" spans="32:55">
      <c r="AF1438">
        <f t="shared" si="68"/>
        <v>0</v>
      </c>
      <c r="AG1438" t="str">
        <f t="shared" si="69"/>
        <v>NH₂CHCOOH(CH(CH₃)-CH₂-CH₃) (s)</v>
      </c>
      <c r="AH1438" t="s">
        <v>5003</v>
      </c>
      <c r="AI1438" t="s">
        <v>5004</v>
      </c>
      <c r="AJ1438" t="s">
        <v>5005</v>
      </c>
      <c r="AL1438" t="s">
        <v>5006</v>
      </c>
      <c r="AS1438" t="s">
        <v>160</v>
      </c>
      <c r="AX1438" s="6">
        <v>131.18</v>
      </c>
      <c r="AY1438" s="6" t="s">
        <v>5007</v>
      </c>
      <c r="AZ1438" s="6">
        <v>207.99</v>
      </c>
      <c r="BA1438" s="6"/>
      <c r="BB1438" s="6">
        <v>-347.15</v>
      </c>
    </row>
    <row r="1439" spans="32:55">
      <c r="AF1439">
        <f t="shared" si="68"/>
        <v>0</v>
      </c>
      <c r="AG1439" t="str">
        <f t="shared" si="69"/>
        <v>Leu-CH₂-CH(CH₃)₂ (s)</v>
      </c>
      <c r="AH1439" t="s">
        <v>5008</v>
      </c>
      <c r="AI1439" t="s">
        <v>5009</v>
      </c>
      <c r="AJ1439" t="s">
        <v>5010</v>
      </c>
      <c r="AL1439" t="s">
        <v>5011</v>
      </c>
      <c r="AS1439" t="s">
        <v>160</v>
      </c>
      <c r="AX1439" s="6">
        <v>131.18</v>
      </c>
      <c r="AY1439" s="6" t="s">
        <v>5012</v>
      </c>
      <c r="AZ1439" s="6">
        <v>209.62</v>
      </c>
      <c r="BA1439" s="6"/>
      <c r="BB1439" s="6">
        <v>-356.48</v>
      </c>
    </row>
    <row r="1440" spans="32:55">
      <c r="AF1440">
        <f t="shared" si="68"/>
        <v>0</v>
      </c>
      <c r="AG1440" t="str">
        <f t="shared" si="69"/>
        <v>⁺NH₃CH(CH₂-CH(CH₃)₂)COO⁻ (aq)</v>
      </c>
      <c r="AH1440" t="s">
        <v>5013</v>
      </c>
      <c r="AI1440" t="s">
        <v>5014</v>
      </c>
      <c r="AJ1440" t="s">
        <v>5015</v>
      </c>
      <c r="AL1440" t="s">
        <v>5011</v>
      </c>
      <c r="AS1440" t="s">
        <v>48</v>
      </c>
      <c r="AX1440" s="6">
        <v>131.18</v>
      </c>
      <c r="AY1440" s="6" t="s">
        <v>5016</v>
      </c>
      <c r="AZ1440" s="6">
        <v>207.53</v>
      </c>
      <c r="BA1440" s="6"/>
      <c r="BB1440" s="6">
        <v>-352.25</v>
      </c>
    </row>
    <row r="1441" spans="32:55">
      <c r="AF1441">
        <f t="shared" si="68"/>
        <v>0</v>
      </c>
      <c r="AG1441" t="str">
        <f t="shared" si="69"/>
        <v>C₆H₁₃NO₂ (s)</v>
      </c>
      <c r="AH1441" t="s">
        <v>5017</v>
      </c>
      <c r="AI1441" t="s">
        <v>5018</v>
      </c>
      <c r="AJ1441" t="s">
        <v>5018</v>
      </c>
      <c r="AL1441" t="s">
        <v>5019</v>
      </c>
      <c r="AS1441" t="s">
        <v>160</v>
      </c>
      <c r="AX1441" s="6">
        <v>131.18</v>
      </c>
      <c r="AY1441" s="6" t="s">
        <v>5020</v>
      </c>
      <c r="AZ1441" s="6">
        <v>208</v>
      </c>
      <c r="BA1441" s="6"/>
      <c r="BB1441" s="6">
        <v>-347.15</v>
      </c>
    </row>
    <row r="1442" spans="32:55">
      <c r="AF1442">
        <f t="shared" si="68"/>
        <v>0</v>
      </c>
      <c r="AG1442" t="str">
        <f t="shared" si="69"/>
        <v>C₆H₁₄N₂O₂ (s)</v>
      </c>
      <c r="AH1442" t="s">
        <v>5021</v>
      </c>
      <c r="AI1442" t="s">
        <v>5022</v>
      </c>
      <c r="AJ1442" t="s">
        <v>5022</v>
      </c>
      <c r="AL1442" t="s">
        <v>5023</v>
      </c>
      <c r="AS1442" t="s">
        <v>160</v>
      </c>
      <c r="AX1442" s="6">
        <v>146.19</v>
      </c>
      <c r="AY1442" s="6" t="s">
        <v>5024</v>
      </c>
      <c r="AZ1442" s="6" t="s">
        <v>168</v>
      </c>
      <c r="BA1442" s="6"/>
      <c r="BB1442" s="6" t="s">
        <v>168</v>
      </c>
      <c r="BC1442" s="6"/>
    </row>
    <row r="1443" spans="32:55">
      <c r="AF1443">
        <f t="shared" si="68"/>
        <v>0</v>
      </c>
      <c r="AG1443" t="str">
        <f t="shared" si="69"/>
        <v>Met-(CH₂)₂-S-CH₃ (s)</v>
      </c>
      <c r="AH1443" t="s">
        <v>5025</v>
      </c>
      <c r="AI1443" t="s">
        <v>5026</v>
      </c>
      <c r="AJ1443" t="s">
        <v>5027</v>
      </c>
      <c r="AL1443" t="s">
        <v>5028</v>
      </c>
      <c r="AS1443" t="s">
        <v>160</v>
      </c>
      <c r="AX1443" s="6">
        <v>149.21</v>
      </c>
      <c r="AY1443" s="6" t="s">
        <v>5029</v>
      </c>
      <c r="AZ1443" s="6">
        <v>231.46</v>
      </c>
      <c r="BA1443" s="6"/>
      <c r="BB1443" s="6">
        <v>-508.36</v>
      </c>
    </row>
    <row r="1444" spans="32:55">
      <c r="AF1444">
        <f t="shared" si="68"/>
        <v>0</v>
      </c>
      <c r="AG1444" t="str">
        <f t="shared" si="69"/>
        <v>⁺NH₃CH((CH₂)₂-S-CH₃)COO⁻ (aq)</v>
      </c>
      <c r="AH1444" t="s">
        <v>5030</v>
      </c>
      <c r="AI1444" t="s">
        <v>5031</v>
      </c>
      <c r="AJ1444" t="s">
        <v>5032</v>
      </c>
      <c r="AL1444" t="s">
        <v>5028</v>
      </c>
      <c r="AS1444" t="s">
        <v>48</v>
      </c>
      <c r="AX1444" s="6">
        <v>149.21</v>
      </c>
      <c r="AY1444" s="6" t="s">
        <v>5033</v>
      </c>
      <c r="AZ1444" s="6" t="s">
        <v>168</v>
      </c>
      <c r="BA1444" s="6"/>
      <c r="BB1444" s="6" t="s">
        <v>168</v>
      </c>
      <c r="BC1444" s="6"/>
    </row>
    <row r="1445" spans="32:55">
      <c r="AF1445">
        <f t="shared" si="68"/>
        <v>0</v>
      </c>
      <c r="AG1445" t="str">
        <f t="shared" si="69"/>
        <v>Phe-CH₂-C₆H₅ (s)</v>
      </c>
      <c r="AH1445" t="s">
        <v>5034</v>
      </c>
      <c r="AI1445" t="s">
        <v>5035</v>
      </c>
      <c r="AJ1445" t="s">
        <v>5035</v>
      </c>
      <c r="AL1445" t="s">
        <v>5036</v>
      </c>
      <c r="AS1445" t="s">
        <v>160</v>
      </c>
      <c r="AX1445" s="6">
        <v>165.19</v>
      </c>
      <c r="AY1445" s="6" t="s">
        <v>5037</v>
      </c>
      <c r="AZ1445" s="6">
        <v>213.63</v>
      </c>
      <c r="BA1445" s="6"/>
      <c r="BB1445" s="6">
        <v>-211.71</v>
      </c>
    </row>
    <row r="1446" spans="32:55">
      <c r="AF1446">
        <f t="shared" si="68"/>
        <v>0</v>
      </c>
      <c r="AG1446" t="str">
        <f t="shared" si="69"/>
        <v>C₅H₉NO₂ (s)</v>
      </c>
      <c r="AH1446" t="s">
        <v>5038</v>
      </c>
      <c r="AI1446" t="s">
        <v>5039</v>
      </c>
      <c r="AJ1446" t="s">
        <v>5039</v>
      </c>
      <c r="AL1446" t="s">
        <v>5040</v>
      </c>
      <c r="AS1446" t="s">
        <v>160</v>
      </c>
      <c r="AX1446" s="6">
        <v>115.13</v>
      </c>
      <c r="AY1446" s="6" t="s">
        <v>5041</v>
      </c>
      <c r="AZ1446" s="6" t="s">
        <v>168</v>
      </c>
      <c r="BA1446" s="6"/>
      <c r="BB1446" s="6" t="s">
        <v>168</v>
      </c>
      <c r="BC1446" s="6"/>
    </row>
    <row r="1447" spans="32:55">
      <c r="AF1447">
        <f t="shared" si="68"/>
        <v>0</v>
      </c>
      <c r="AG1447" t="str">
        <f t="shared" si="69"/>
        <v>C₅H₉NO₃ (s)</v>
      </c>
      <c r="AH1447" t="s">
        <v>5042</v>
      </c>
      <c r="AI1447" t="s">
        <v>5043</v>
      </c>
      <c r="AJ1447" t="s">
        <v>5043</v>
      </c>
      <c r="AL1447" t="s">
        <v>5044</v>
      </c>
      <c r="AS1447" t="s">
        <v>160</v>
      </c>
      <c r="AX1447" s="6">
        <v>131.13</v>
      </c>
      <c r="AY1447" s="6" t="s">
        <v>5045</v>
      </c>
      <c r="AZ1447" s="6" t="s">
        <v>168</v>
      </c>
      <c r="BA1447" s="6"/>
      <c r="BB1447" s="6" t="s">
        <v>168</v>
      </c>
      <c r="BC1447" s="6"/>
    </row>
    <row r="1448" spans="32:55">
      <c r="AF1448">
        <f t="shared" si="68"/>
        <v>0</v>
      </c>
      <c r="AG1448" t="str">
        <f t="shared" si="69"/>
        <v>-CH₂-OH (s)</v>
      </c>
      <c r="AH1448" t="s">
        <v>5046</v>
      </c>
      <c r="AI1448" t="s">
        <v>5047</v>
      </c>
      <c r="AJ1448" t="s">
        <v>5047</v>
      </c>
      <c r="AL1448" t="s">
        <v>5048</v>
      </c>
      <c r="AS1448" t="s">
        <v>160</v>
      </c>
      <c r="AX1448" s="6">
        <v>105.09</v>
      </c>
      <c r="AY1448" s="6" t="s">
        <v>5049</v>
      </c>
      <c r="AZ1448" s="6" t="s">
        <v>168</v>
      </c>
      <c r="BA1448" s="6"/>
      <c r="BB1448" s="6" t="s">
        <v>168</v>
      </c>
      <c r="BC1448" s="6"/>
    </row>
    <row r="1449" spans="32:55">
      <c r="AF1449">
        <f t="shared" si="68"/>
        <v>0</v>
      </c>
      <c r="AG1449" t="str">
        <f t="shared" si="69"/>
        <v/>
      </c>
      <c r="AH1449" t="s">
        <v>5050</v>
      </c>
      <c r="AI1449" t="s">
        <v>5051</v>
      </c>
      <c r="AJ1449" t="s">
        <v>5052</v>
      </c>
      <c r="AL1449" t="s">
        <v>5053</v>
      </c>
      <c r="AS1449" t="s">
        <v>220</v>
      </c>
      <c r="AX1449" s="6"/>
      <c r="AY1449" s="6"/>
      <c r="AZ1449" s="6"/>
      <c r="BA1449" s="6"/>
      <c r="BB1449" s="6"/>
      <c r="BC1449" s="6"/>
    </row>
    <row r="1450" spans="32:55">
      <c r="AF1450">
        <f t="shared" si="68"/>
        <v>0</v>
      </c>
      <c r="AG1450" t="str">
        <f t="shared" si="69"/>
        <v/>
      </c>
      <c r="AH1450" t="s">
        <v>5054</v>
      </c>
      <c r="AI1450" t="s">
        <v>5055</v>
      </c>
      <c r="AJ1450" t="s">
        <v>5055</v>
      </c>
      <c r="AL1450" t="s">
        <v>5056</v>
      </c>
      <c r="AS1450" t="s">
        <v>220</v>
      </c>
      <c r="AX1450" s="6"/>
      <c r="AY1450" s="6"/>
      <c r="AZ1450" s="6"/>
      <c r="BA1450" s="6"/>
      <c r="BB1450" s="6"/>
      <c r="BC1450" s="6"/>
    </row>
    <row r="1451" spans="32:55">
      <c r="AF1451">
        <f t="shared" si="68"/>
        <v>0</v>
      </c>
      <c r="AG1451" t="str">
        <f t="shared" si="69"/>
        <v/>
      </c>
      <c r="AH1451" t="s">
        <v>5057</v>
      </c>
      <c r="AI1451" t="s">
        <v>5058</v>
      </c>
      <c r="AJ1451" t="s">
        <v>5059</v>
      </c>
      <c r="AL1451" t="s">
        <v>5060</v>
      </c>
      <c r="AS1451" t="s">
        <v>220</v>
      </c>
      <c r="AX1451" s="6"/>
      <c r="AY1451" s="6"/>
      <c r="AZ1451" s="6"/>
      <c r="BA1451" s="6"/>
      <c r="BB1451" s="6"/>
      <c r="BC1451" s="6"/>
    </row>
    <row r="1452" spans="32:55">
      <c r="AF1452">
        <f t="shared" si="68"/>
        <v>0</v>
      </c>
      <c r="AG1452" t="str">
        <f t="shared" si="69"/>
        <v/>
      </c>
      <c r="AH1452" t="s">
        <v>5061</v>
      </c>
      <c r="AI1452" t="s">
        <v>5062</v>
      </c>
      <c r="AJ1452" t="s">
        <v>5063</v>
      </c>
      <c r="AL1452" t="s">
        <v>5064</v>
      </c>
      <c r="AS1452" t="s">
        <v>220</v>
      </c>
      <c r="AX1452" s="6"/>
      <c r="AY1452" s="6"/>
      <c r="AZ1452" s="6"/>
      <c r="BA1452" s="6"/>
      <c r="BB1452" s="6"/>
      <c r="BC1452" s="6"/>
    </row>
    <row r="1453" spans="32:55">
      <c r="AF1453">
        <f t="shared" si="68"/>
        <v>0</v>
      </c>
      <c r="AG1453" t="str">
        <f t="shared" si="69"/>
        <v/>
      </c>
      <c r="AH1453" t="s">
        <v>4932</v>
      </c>
      <c r="AI1453" t="s">
        <v>4933</v>
      </c>
      <c r="AJ1453" t="s">
        <v>4934</v>
      </c>
      <c r="AL1453" t="s">
        <v>5065</v>
      </c>
      <c r="AS1453" t="s">
        <v>220</v>
      </c>
      <c r="AX1453" s="6"/>
      <c r="AY1453" s="6"/>
      <c r="AZ1453" s="6"/>
      <c r="BA1453" s="6"/>
      <c r="BB1453" s="6"/>
      <c r="BC1453" s="6"/>
    </row>
    <row r="1454" spans="32:55">
      <c r="AF1454">
        <f t="shared" si="68"/>
        <v>0</v>
      </c>
      <c r="AG1454" t="str">
        <f t="shared" si="69"/>
        <v/>
      </c>
      <c r="AH1454" t="s">
        <v>5066</v>
      </c>
      <c r="AI1454" t="s">
        <v>5067</v>
      </c>
      <c r="AJ1454" t="s">
        <v>5068</v>
      </c>
      <c r="AL1454" t="s">
        <v>5069</v>
      </c>
      <c r="AS1454" t="s">
        <v>220</v>
      </c>
      <c r="AX1454" s="6"/>
      <c r="AY1454" s="6"/>
      <c r="AZ1454" s="6"/>
      <c r="BA1454" s="6"/>
      <c r="BB1454" s="6"/>
      <c r="BC1454" s="6"/>
    </row>
    <row r="1455" spans="32:55">
      <c r="AF1455">
        <f t="shared" si="68"/>
        <v>0</v>
      </c>
      <c r="AG1455" t="str">
        <f t="shared" si="69"/>
        <v/>
      </c>
      <c r="AH1455" t="s">
        <v>5070</v>
      </c>
      <c r="AI1455" t="s">
        <v>5071</v>
      </c>
      <c r="AJ1455" t="s">
        <v>5072</v>
      </c>
      <c r="AL1455" t="s">
        <v>5073</v>
      </c>
      <c r="AS1455" t="s">
        <v>220</v>
      </c>
      <c r="AX1455" s="6"/>
      <c r="AY1455" s="6"/>
      <c r="AZ1455" s="6"/>
      <c r="BA1455" s="6"/>
      <c r="BB1455" s="6"/>
      <c r="BC1455" s="6"/>
    </row>
    <row r="1456" spans="32:55">
      <c r="AF1456">
        <f t="shared" si="68"/>
        <v>0</v>
      </c>
      <c r="AG1456" t="str">
        <f t="shared" si="69"/>
        <v/>
      </c>
      <c r="AH1456" t="s">
        <v>5074</v>
      </c>
      <c r="AI1456" t="s">
        <v>5075</v>
      </c>
      <c r="AJ1456" t="s">
        <v>5076</v>
      </c>
      <c r="AL1456" t="s">
        <v>5077</v>
      </c>
      <c r="AS1456" t="s">
        <v>220</v>
      </c>
      <c r="AX1456" s="6"/>
      <c r="AY1456" s="6"/>
      <c r="AZ1456" s="6"/>
      <c r="BA1456" s="6"/>
      <c r="BB1456" s="6"/>
      <c r="BC1456" s="6"/>
    </row>
    <row r="1457" spans="32:55">
      <c r="AF1457">
        <f t="shared" si="68"/>
        <v>0</v>
      </c>
      <c r="AG1457" t="str">
        <f t="shared" si="69"/>
        <v/>
      </c>
      <c r="AH1457" t="s">
        <v>5078</v>
      </c>
      <c r="AI1457" t="s">
        <v>5079</v>
      </c>
      <c r="AJ1457" t="s">
        <v>5079</v>
      </c>
      <c r="AL1457" t="s">
        <v>5080</v>
      </c>
      <c r="AS1457" t="s">
        <v>220</v>
      </c>
      <c r="AX1457" s="6"/>
      <c r="AY1457" s="6"/>
      <c r="AZ1457" s="6"/>
      <c r="BA1457" s="6"/>
      <c r="BB1457" s="6"/>
      <c r="BC1457" s="6"/>
    </row>
    <row r="1458" spans="32:55">
      <c r="AF1458">
        <f t="shared" si="68"/>
        <v>0</v>
      </c>
      <c r="AG1458" t="str">
        <f t="shared" si="69"/>
        <v/>
      </c>
      <c r="AH1458" t="s">
        <v>5081</v>
      </c>
      <c r="AI1458" t="s">
        <v>5082</v>
      </c>
      <c r="AJ1458" t="s">
        <v>5082</v>
      </c>
      <c r="AL1458" t="s">
        <v>5083</v>
      </c>
      <c r="AS1458" t="s">
        <v>220</v>
      </c>
      <c r="AX1458" s="6"/>
      <c r="AY1458" s="6"/>
      <c r="AZ1458" s="6"/>
      <c r="BA1458" s="6"/>
      <c r="BB1458" s="6"/>
      <c r="BC1458" s="6"/>
    </row>
    <row r="1459" spans="32:55">
      <c r="AF1459">
        <f t="shared" si="68"/>
        <v>0</v>
      </c>
      <c r="AG1459" t="str">
        <f t="shared" si="69"/>
        <v/>
      </c>
      <c r="AH1459" t="s">
        <v>5084</v>
      </c>
      <c r="AI1459" t="s">
        <v>5085</v>
      </c>
      <c r="AJ1459" t="s">
        <v>5086</v>
      </c>
      <c r="AL1459" t="s">
        <v>5087</v>
      </c>
      <c r="AS1459" t="s">
        <v>220</v>
      </c>
      <c r="AX1459" s="6"/>
      <c r="AY1459" s="6"/>
      <c r="AZ1459" s="6"/>
      <c r="BA1459" s="6"/>
      <c r="BB1459" s="6"/>
      <c r="BC1459" s="6"/>
    </row>
    <row r="1460" spans="32:55">
      <c r="AF1460">
        <f t="shared" si="68"/>
        <v>0</v>
      </c>
      <c r="AG1460" t="str">
        <f t="shared" si="69"/>
        <v/>
      </c>
      <c r="AH1460" t="s">
        <v>5088</v>
      </c>
      <c r="AI1460" t="s">
        <v>5089</v>
      </c>
      <c r="AJ1460" t="s">
        <v>5089</v>
      </c>
      <c r="AL1460" t="s">
        <v>5090</v>
      </c>
      <c r="AS1460" t="s">
        <v>220</v>
      </c>
      <c r="AX1460" s="6"/>
      <c r="AY1460" s="6"/>
      <c r="AZ1460" s="6"/>
      <c r="BA1460" s="6"/>
      <c r="BB1460" s="6"/>
      <c r="BC1460" s="6"/>
    </row>
    <row r="1461" spans="32:55">
      <c r="AF1461">
        <f t="shared" si="68"/>
        <v>0</v>
      </c>
      <c r="AG1461" t="str">
        <f t="shared" si="69"/>
        <v/>
      </c>
      <c r="AH1461" t="s">
        <v>5091</v>
      </c>
      <c r="AI1461" t="s">
        <v>5092</v>
      </c>
      <c r="AJ1461" t="s">
        <v>5093</v>
      </c>
      <c r="AL1461" t="s">
        <v>5094</v>
      </c>
      <c r="AS1461" t="s">
        <v>220</v>
      </c>
      <c r="AX1461" s="6"/>
      <c r="AY1461" s="6"/>
      <c r="AZ1461" s="6"/>
      <c r="BA1461" s="6"/>
      <c r="BB1461" s="6"/>
      <c r="BC1461" s="6"/>
    </row>
    <row r="1462" spans="32:55">
      <c r="AF1462">
        <f t="shared" si="68"/>
        <v>0</v>
      </c>
      <c r="AG1462" t="str">
        <f t="shared" si="69"/>
        <v/>
      </c>
      <c r="AH1462" t="s">
        <v>5095</v>
      </c>
      <c r="AI1462" t="s">
        <v>5096</v>
      </c>
      <c r="AJ1462" t="s">
        <v>5097</v>
      </c>
      <c r="AL1462" t="s">
        <v>5098</v>
      </c>
      <c r="AS1462" t="s">
        <v>220</v>
      </c>
      <c r="AX1462" s="6"/>
      <c r="AY1462" s="6"/>
      <c r="AZ1462" s="6"/>
      <c r="BA1462" s="6"/>
      <c r="BB1462" s="6"/>
      <c r="BC1462" s="6"/>
    </row>
    <row r="1463" spans="32:55">
      <c r="AF1463">
        <f t="shared" si="68"/>
        <v>0</v>
      </c>
      <c r="AG1463" t="str">
        <f t="shared" si="69"/>
        <v/>
      </c>
      <c r="AH1463" t="s">
        <v>5099</v>
      </c>
      <c r="AI1463" t="s">
        <v>5100</v>
      </c>
      <c r="AJ1463" t="s">
        <v>5101</v>
      </c>
      <c r="AL1463" t="s">
        <v>5102</v>
      </c>
      <c r="AS1463" t="s">
        <v>220</v>
      </c>
      <c r="AX1463" s="6"/>
      <c r="AY1463" s="6"/>
      <c r="AZ1463" s="6"/>
      <c r="BA1463" s="6"/>
      <c r="BB1463" s="6"/>
      <c r="BC1463" s="6"/>
    </row>
    <row r="1464" spans="32:55">
      <c r="AF1464">
        <f t="shared" si="68"/>
        <v>0</v>
      </c>
      <c r="AG1464" t="str">
        <f t="shared" si="69"/>
        <v/>
      </c>
      <c r="AH1464" t="s">
        <v>5103</v>
      </c>
      <c r="AI1464" t="s">
        <v>5104</v>
      </c>
      <c r="AJ1464" t="s">
        <v>5104</v>
      </c>
      <c r="AL1464" t="s">
        <v>5105</v>
      </c>
      <c r="AS1464" t="s">
        <v>220</v>
      </c>
      <c r="AX1464" s="6"/>
      <c r="AY1464" s="6"/>
      <c r="AZ1464" s="6"/>
      <c r="BA1464" s="6"/>
      <c r="BB1464" s="6"/>
      <c r="BC1464" s="6"/>
    </row>
    <row r="1465" spans="32:55">
      <c r="AF1465">
        <f t="shared" si="68"/>
        <v>0</v>
      </c>
      <c r="AG1465" t="str">
        <f t="shared" si="69"/>
        <v/>
      </c>
      <c r="AH1465" t="s">
        <v>5106</v>
      </c>
      <c r="AI1465" t="s">
        <v>5107</v>
      </c>
      <c r="AJ1465" t="s">
        <v>5107</v>
      </c>
      <c r="AL1465" t="s">
        <v>5108</v>
      </c>
      <c r="AS1465" t="s">
        <v>220</v>
      </c>
      <c r="AX1465" s="6"/>
      <c r="AY1465" s="6"/>
      <c r="AZ1465" s="6"/>
      <c r="BA1465" s="6"/>
      <c r="BB1465" s="6"/>
      <c r="BC1465" s="6"/>
    </row>
    <row r="1466" spans="32:55">
      <c r="AF1466">
        <f t="shared" si="68"/>
        <v>0</v>
      </c>
      <c r="AG1466" t="str">
        <f t="shared" si="69"/>
        <v/>
      </c>
      <c r="AH1466" t="s">
        <v>5109</v>
      </c>
      <c r="AI1466" t="s">
        <v>5110</v>
      </c>
      <c r="AJ1466" t="s">
        <v>5111</v>
      </c>
      <c r="AL1466" t="s">
        <v>5112</v>
      </c>
      <c r="AS1466" t="s">
        <v>220</v>
      </c>
      <c r="AX1466" s="6"/>
      <c r="AY1466" s="6"/>
      <c r="AZ1466" s="6"/>
      <c r="BA1466" s="6"/>
      <c r="BB1466" s="6"/>
      <c r="BC1466" s="6"/>
    </row>
    <row r="1467" spans="32:55">
      <c r="AF1467">
        <f t="shared" si="68"/>
        <v>0</v>
      </c>
      <c r="AG1467" t="str">
        <f t="shared" si="69"/>
        <v/>
      </c>
      <c r="AH1467" t="s">
        <v>5113</v>
      </c>
      <c r="AI1467" t="s">
        <v>5114</v>
      </c>
      <c r="AJ1467" t="s">
        <v>5115</v>
      </c>
      <c r="AL1467" t="s">
        <v>5116</v>
      </c>
      <c r="AS1467" t="s">
        <v>220</v>
      </c>
      <c r="AX1467" s="6"/>
      <c r="AY1467" s="6"/>
      <c r="AZ1467" s="6"/>
      <c r="BA1467" s="6"/>
      <c r="BB1467" s="6"/>
      <c r="BC1467" s="6"/>
    </row>
    <row r="1468" spans="32:55">
      <c r="AF1468">
        <f t="shared" si="68"/>
        <v>0</v>
      </c>
      <c r="AG1468" t="str">
        <f t="shared" si="69"/>
        <v/>
      </c>
      <c r="AH1468" t="s">
        <v>5113</v>
      </c>
      <c r="AI1468" t="s">
        <v>5114</v>
      </c>
      <c r="AJ1468" t="s">
        <v>5115</v>
      </c>
      <c r="AL1468" t="s">
        <v>5116</v>
      </c>
      <c r="AS1468" t="s">
        <v>220</v>
      </c>
      <c r="AX1468" s="6"/>
      <c r="AY1468" s="6"/>
      <c r="AZ1468" s="6"/>
      <c r="BA1468" s="6"/>
      <c r="BB1468" s="6"/>
      <c r="BC1468" s="6"/>
    </row>
    <row r="1469" spans="32:55">
      <c r="AF1469">
        <f t="shared" si="68"/>
        <v>0</v>
      </c>
      <c r="AG1469" t="str">
        <f t="shared" si="69"/>
        <v/>
      </c>
      <c r="AH1469" t="s">
        <v>5117</v>
      </c>
      <c r="AI1469" t="s">
        <v>5118</v>
      </c>
      <c r="AJ1469" t="s">
        <v>5119</v>
      </c>
      <c r="AL1469" t="s">
        <v>5120</v>
      </c>
      <c r="AS1469" t="s">
        <v>220</v>
      </c>
      <c r="AX1469" s="6"/>
      <c r="AY1469" s="6"/>
      <c r="AZ1469" s="6"/>
      <c r="BA1469" s="6"/>
      <c r="BB1469" s="6"/>
      <c r="BC1469" s="6"/>
    </row>
    <row r="1470" spans="32:55">
      <c r="AF1470">
        <f t="shared" si="68"/>
        <v>0</v>
      </c>
      <c r="AG1470" t="str">
        <f t="shared" si="69"/>
        <v/>
      </c>
      <c r="AH1470" t="s">
        <v>5121</v>
      </c>
      <c r="AI1470" t="s">
        <v>5122</v>
      </c>
      <c r="AJ1470" t="s">
        <v>5122</v>
      </c>
      <c r="AK1470" t="s">
        <v>5123</v>
      </c>
      <c r="AL1470" t="s">
        <v>5124</v>
      </c>
      <c r="AS1470" t="s">
        <v>220</v>
      </c>
      <c r="AX1470" s="6"/>
      <c r="AY1470" s="6"/>
      <c r="AZ1470" s="6"/>
      <c r="BA1470" s="6"/>
      <c r="BB1470" s="6"/>
      <c r="BC1470" s="6"/>
    </row>
    <row r="1471" spans="32:55">
      <c r="AF1471">
        <f t="shared" si="68"/>
        <v>0</v>
      </c>
      <c r="AG1471" t="str">
        <f t="shared" si="69"/>
        <v/>
      </c>
      <c r="AH1471" t="s">
        <v>5121</v>
      </c>
      <c r="AI1471" t="s">
        <v>5122</v>
      </c>
      <c r="AJ1471" t="s">
        <v>5122</v>
      </c>
      <c r="AL1471" t="s">
        <v>5125</v>
      </c>
      <c r="AS1471" t="s">
        <v>220</v>
      </c>
      <c r="AX1471" s="6"/>
      <c r="AY1471" s="6"/>
      <c r="AZ1471" s="6"/>
      <c r="BA1471" s="6"/>
      <c r="BB1471" s="6"/>
      <c r="BC1471" s="6"/>
    </row>
    <row r="1472" spans="32:55">
      <c r="AF1472">
        <f t="shared" si="68"/>
        <v>0</v>
      </c>
      <c r="AG1472" t="str">
        <f t="shared" si="69"/>
        <v/>
      </c>
      <c r="AH1472" t="s">
        <v>5121</v>
      </c>
      <c r="AI1472" t="s">
        <v>5122</v>
      </c>
      <c r="AJ1472" t="s">
        <v>5122</v>
      </c>
      <c r="AL1472" t="s">
        <v>5126</v>
      </c>
      <c r="AS1472" t="s">
        <v>220</v>
      </c>
      <c r="AX1472" s="6"/>
      <c r="AY1472" s="6"/>
      <c r="AZ1472" s="6"/>
      <c r="BA1472" s="6"/>
      <c r="BB1472" s="6"/>
      <c r="BC1472" s="6"/>
    </row>
    <row r="1473" spans="32:55">
      <c r="AF1473">
        <f t="shared" si="68"/>
        <v>0</v>
      </c>
      <c r="AG1473" t="str">
        <f t="shared" si="69"/>
        <v/>
      </c>
      <c r="AH1473" t="s">
        <v>5127</v>
      </c>
      <c r="AI1473" t="s">
        <v>5128</v>
      </c>
      <c r="AJ1473" t="s">
        <v>5128</v>
      </c>
      <c r="AL1473" t="s">
        <v>5129</v>
      </c>
      <c r="AS1473" t="s">
        <v>220</v>
      </c>
      <c r="AX1473" s="6"/>
      <c r="AY1473" s="6"/>
      <c r="AZ1473" s="6"/>
      <c r="BA1473" s="6"/>
      <c r="BB1473" s="6"/>
      <c r="BC1473" s="6"/>
    </row>
    <row r="1474" spans="32:55">
      <c r="AF1474">
        <f t="shared" si="68"/>
        <v>0</v>
      </c>
      <c r="AG1474" t="str">
        <f t="shared" si="69"/>
        <v/>
      </c>
      <c r="AH1474" t="s">
        <v>5130</v>
      </c>
      <c r="AI1474" t="s">
        <v>5131</v>
      </c>
      <c r="AJ1474" t="s">
        <v>5131</v>
      </c>
      <c r="AL1474" t="s">
        <v>5132</v>
      </c>
      <c r="AS1474" t="s">
        <v>220</v>
      </c>
      <c r="AX1474" s="6"/>
      <c r="AY1474" s="6"/>
      <c r="AZ1474" s="6"/>
      <c r="BA1474" s="6"/>
      <c r="BB1474" s="6"/>
      <c r="BC1474" s="6"/>
    </row>
    <row r="1475" spans="32:55">
      <c r="AF1475">
        <f t="shared" ref="AF1475:AF1538" si="70">IF(OR(AG1475="",COUNTIF(AG:AG, AG1475) = 1),0, "1")</f>
        <v>0</v>
      </c>
      <c r="AG1475" t="str">
        <f t="shared" ref="AG1475:AG1508" si="71">IF(AS1475 &lt;&gt; "",AH1475&amp;" ("&amp;AS1475 &amp;")","")</f>
        <v/>
      </c>
      <c r="AH1475" t="s">
        <v>5133</v>
      </c>
      <c r="AI1475" t="s">
        <v>5134</v>
      </c>
      <c r="AJ1475" t="s">
        <v>5134</v>
      </c>
      <c r="AL1475" t="s">
        <v>5135</v>
      </c>
      <c r="AS1475" t="s">
        <v>220</v>
      </c>
      <c r="AX1475" s="6"/>
      <c r="AY1475" s="6"/>
      <c r="AZ1475" s="6"/>
      <c r="BA1475" s="6"/>
      <c r="BB1475" s="6"/>
      <c r="BC1475" s="6"/>
    </row>
    <row r="1476" spans="32:55">
      <c r="AF1476">
        <f t="shared" si="70"/>
        <v>0</v>
      </c>
      <c r="AG1476" t="str">
        <f t="shared" si="71"/>
        <v/>
      </c>
      <c r="AH1476" t="s">
        <v>5136</v>
      </c>
      <c r="AI1476" t="s">
        <v>5137</v>
      </c>
      <c r="AJ1476" t="s">
        <v>5138</v>
      </c>
      <c r="AL1476" t="s">
        <v>5139</v>
      </c>
      <c r="AS1476" t="s">
        <v>220</v>
      </c>
      <c r="AX1476" s="6"/>
      <c r="AY1476" s="6"/>
      <c r="AZ1476" s="6"/>
      <c r="BA1476" s="6"/>
      <c r="BB1476" s="6"/>
      <c r="BC1476" s="6"/>
    </row>
    <row r="1477" spans="32:55">
      <c r="AF1477">
        <f t="shared" si="70"/>
        <v>0</v>
      </c>
      <c r="AG1477" t="str">
        <f t="shared" si="71"/>
        <v/>
      </c>
      <c r="AH1477" t="s">
        <v>5140</v>
      </c>
      <c r="AI1477" t="s">
        <v>5141</v>
      </c>
      <c r="AJ1477" t="s">
        <v>5141</v>
      </c>
      <c r="AL1477" t="s">
        <v>5142</v>
      </c>
      <c r="AS1477" t="s">
        <v>220</v>
      </c>
      <c r="AX1477" s="6"/>
      <c r="AY1477" s="6"/>
      <c r="AZ1477" s="6"/>
      <c r="BA1477" s="6"/>
      <c r="BB1477" s="6"/>
      <c r="BC1477" s="6"/>
    </row>
    <row r="1478" spans="32:55">
      <c r="AF1478">
        <f t="shared" si="70"/>
        <v>0</v>
      </c>
      <c r="AG1478" t="str">
        <f t="shared" si="71"/>
        <v/>
      </c>
      <c r="AH1478" t="s">
        <v>5143</v>
      </c>
      <c r="AI1478" t="s">
        <v>5144</v>
      </c>
      <c r="AJ1478" t="s">
        <v>5144</v>
      </c>
      <c r="AL1478" t="s">
        <v>5145</v>
      </c>
      <c r="AS1478" t="s">
        <v>220</v>
      </c>
      <c r="AX1478" s="6"/>
      <c r="AY1478" s="6"/>
      <c r="AZ1478" s="6"/>
      <c r="BA1478" s="6"/>
      <c r="BB1478" s="6"/>
      <c r="BC1478" s="6"/>
    </row>
    <row r="1479" spans="32:55">
      <c r="AF1479">
        <f t="shared" si="70"/>
        <v>0</v>
      </c>
      <c r="AG1479" t="str">
        <f t="shared" si="71"/>
        <v/>
      </c>
      <c r="AH1479" t="s">
        <v>5143</v>
      </c>
      <c r="AI1479" t="s">
        <v>5144</v>
      </c>
      <c r="AJ1479" t="s">
        <v>5144</v>
      </c>
      <c r="AL1479" t="s">
        <v>5146</v>
      </c>
      <c r="AS1479" t="s">
        <v>220</v>
      </c>
      <c r="AX1479" s="6"/>
      <c r="AY1479" s="6"/>
      <c r="AZ1479" s="6"/>
      <c r="BA1479" s="6"/>
      <c r="BB1479" s="6"/>
      <c r="BC1479" s="6"/>
    </row>
    <row r="1480" spans="32:55">
      <c r="AF1480">
        <f t="shared" si="70"/>
        <v>0</v>
      </c>
      <c r="AG1480" t="str">
        <f t="shared" si="71"/>
        <v/>
      </c>
      <c r="AH1480" t="s">
        <v>5143</v>
      </c>
      <c r="AI1480" t="s">
        <v>5144</v>
      </c>
      <c r="AJ1480" t="s">
        <v>5144</v>
      </c>
      <c r="AL1480" t="s">
        <v>5147</v>
      </c>
      <c r="AS1480" t="s">
        <v>220</v>
      </c>
      <c r="AX1480" s="6"/>
      <c r="AY1480" s="6"/>
      <c r="AZ1480" s="6"/>
      <c r="BA1480" s="6"/>
      <c r="BB1480" s="6"/>
      <c r="BC1480" s="6"/>
    </row>
    <row r="1481" spans="32:55">
      <c r="AF1481">
        <f t="shared" si="70"/>
        <v>0</v>
      </c>
      <c r="AG1481" t="str">
        <f t="shared" si="71"/>
        <v/>
      </c>
      <c r="AH1481" t="s">
        <v>5148</v>
      </c>
      <c r="AI1481" t="s">
        <v>5149</v>
      </c>
      <c r="AJ1481" t="s">
        <v>5150</v>
      </c>
      <c r="AL1481" t="s">
        <v>5151</v>
      </c>
      <c r="AS1481" t="s">
        <v>220</v>
      </c>
      <c r="AX1481" s="6"/>
      <c r="AY1481" s="6"/>
      <c r="AZ1481" s="6"/>
      <c r="BA1481" s="6"/>
      <c r="BB1481" s="6"/>
      <c r="BC1481" s="6"/>
    </row>
    <row r="1482" spans="32:55">
      <c r="AF1482">
        <f t="shared" si="70"/>
        <v>0</v>
      </c>
      <c r="AG1482" t="str">
        <f t="shared" si="71"/>
        <v/>
      </c>
      <c r="AH1482" t="s">
        <v>5148</v>
      </c>
      <c r="AI1482" t="s">
        <v>5149</v>
      </c>
      <c r="AJ1482" t="s">
        <v>5150</v>
      </c>
      <c r="AL1482" t="s">
        <v>5152</v>
      </c>
      <c r="AS1482" t="s">
        <v>220</v>
      </c>
      <c r="AX1482" s="6"/>
      <c r="AY1482" s="6"/>
      <c r="AZ1482" s="6"/>
      <c r="BA1482" s="6"/>
      <c r="BB1482" s="6"/>
      <c r="BC1482" s="6"/>
    </row>
    <row r="1483" spans="32:55">
      <c r="AF1483">
        <f t="shared" si="70"/>
        <v>0</v>
      </c>
      <c r="AG1483" t="str">
        <f t="shared" si="71"/>
        <v/>
      </c>
      <c r="AH1483" t="s">
        <v>5148</v>
      </c>
      <c r="AI1483" t="s">
        <v>5149</v>
      </c>
      <c r="AJ1483" t="s">
        <v>5150</v>
      </c>
      <c r="AL1483" t="s">
        <v>5153</v>
      </c>
      <c r="AS1483" t="s">
        <v>220</v>
      </c>
      <c r="AX1483" s="6"/>
      <c r="AY1483" s="6"/>
      <c r="AZ1483" s="6"/>
      <c r="BA1483" s="6"/>
      <c r="BB1483" s="6"/>
      <c r="BC1483" s="6"/>
    </row>
    <row r="1484" spans="32:55">
      <c r="AF1484">
        <f t="shared" si="70"/>
        <v>0</v>
      </c>
      <c r="AG1484" t="str">
        <f t="shared" si="71"/>
        <v/>
      </c>
      <c r="AH1484" t="s">
        <v>5154</v>
      </c>
      <c r="AI1484" t="s">
        <v>5155</v>
      </c>
      <c r="AJ1484" t="s">
        <v>5156</v>
      </c>
      <c r="AL1484" t="s">
        <v>5157</v>
      </c>
      <c r="AS1484" t="s">
        <v>220</v>
      </c>
      <c r="AX1484" s="6"/>
      <c r="AY1484" s="6"/>
      <c r="AZ1484" s="6"/>
      <c r="BA1484" s="6"/>
      <c r="BB1484" s="6"/>
      <c r="BC1484" s="6"/>
    </row>
    <row r="1485" spans="32:55">
      <c r="AF1485">
        <f t="shared" si="70"/>
        <v>0</v>
      </c>
      <c r="AG1485" t="str">
        <f t="shared" si="71"/>
        <v/>
      </c>
      <c r="AH1485" t="s">
        <v>5154</v>
      </c>
      <c r="AI1485" t="s">
        <v>5155</v>
      </c>
      <c r="AJ1485" t="s">
        <v>5156</v>
      </c>
      <c r="AL1485" t="s">
        <v>5158</v>
      </c>
      <c r="AS1485" t="s">
        <v>220</v>
      </c>
      <c r="AX1485" s="6"/>
      <c r="AY1485" s="6"/>
      <c r="AZ1485" s="6"/>
      <c r="BA1485" s="6"/>
      <c r="BB1485" s="6"/>
      <c r="BC1485" s="6"/>
    </row>
    <row r="1486" spans="32:55">
      <c r="AF1486">
        <f t="shared" si="70"/>
        <v>0</v>
      </c>
      <c r="AG1486" t="str">
        <f t="shared" si="71"/>
        <v/>
      </c>
      <c r="AH1486" t="s">
        <v>5159</v>
      </c>
      <c r="AI1486" t="s">
        <v>5160</v>
      </c>
      <c r="AJ1486" t="s">
        <v>5161</v>
      </c>
      <c r="AK1486" t="s">
        <v>5162</v>
      </c>
      <c r="AL1486" t="s">
        <v>5163</v>
      </c>
      <c r="AS1486" t="s">
        <v>220</v>
      </c>
      <c r="AX1486" s="6"/>
      <c r="AY1486" s="6"/>
      <c r="AZ1486" s="6"/>
      <c r="BA1486" s="6"/>
      <c r="BB1486" s="6"/>
      <c r="BC1486" s="6"/>
    </row>
    <row r="1487" spans="32:55">
      <c r="AF1487">
        <f t="shared" si="70"/>
        <v>0</v>
      </c>
      <c r="AG1487" t="str">
        <f t="shared" si="71"/>
        <v/>
      </c>
      <c r="AH1487" t="s">
        <v>5164</v>
      </c>
      <c r="AI1487" t="s">
        <v>5165</v>
      </c>
      <c r="AJ1487" t="s">
        <v>5166</v>
      </c>
      <c r="AK1487" t="s">
        <v>5167</v>
      </c>
      <c r="AL1487" t="s">
        <v>5168</v>
      </c>
      <c r="AS1487" t="s">
        <v>220</v>
      </c>
      <c r="AX1487" s="6"/>
      <c r="AY1487" s="6"/>
      <c r="AZ1487" s="6"/>
      <c r="BA1487" s="6"/>
      <c r="BB1487" s="6"/>
      <c r="BC1487" s="6"/>
    </row>
    <row r="1488" spans="32:55">
      <c r="AF1488">
        <f t="shared" si="70"/>
        <v>0</v>
      </c>
      <c r="AG1488" t="str">
        <f t="shared" si="71"/>
        <v/>
      </c>
      <c r="AH1488" t="s">
        <v>5169</v>
      </c>
      <c r="AI1488" t="s">
        <v>5170</v>
      </c>
      <c r="AJ1488" t="s">
        <v>5171</v>
      </c>
      <c r="AL1488" t="s">
        <v>5172</v>
      </c>
      <c r="AS1488" t="s">
        <v>220</v>
      </c>
      <c r="AX1488" s="6"/>
      <c r="AY1488" s="6"/>
      <c r="AZ1488" s="6"/>
      <c r="BA1488" s="6"/>
      <c r="BB1488" s="6"/>
      <c r="BC1488" s="6"/>
    </row>
    <row r="1489" spans="32:54">
      <c r="AF1489">
        <f t="shared" si="70"/>
        <v>0</v>
      </c>
      <c r="AG1489" t="str">
        <f t="shared" si="71"/>
        <v>CH₃CH₂SH (g)</v>
      </c>
      <c r="AH1489" t="s">
        <v>5173</v>
      </c>
      <c r="AI1489" t="s">
        <v>5174</v>
      </c>
      <c r="AJ1489" t="s">
        <v>5174</v>
      </c>
      <c r="AL1489" t="s">
        <v>5175</v>
      </c>
      <c r="AS1489" t="s">
        <v>47</v>
      </c>
      <c r="AX1489" s="6">
        <v>62.13</v>
      </c>
      <c r="AY1489" s="6" t="s">
        <v>5176</v>
      </c>
      <c r="AZ1489" s="6">
        <v>296.2</v>
      </c>
      <c r="BA1489" s="6"/>
      <c r="BB1489" s="6">
        <v>-4.8</v>
      </c>
    </row>
    <row r="1490" spans="32:54">
      <c r="AF1490">
        <f t="shared" si="70"/>
        <v>0</v>
      </c>
      <c r="AG1490" t="str">
        <f t="shared" si="71"/>
        <v>CH₃CSNH₂ (s)</v>
      </c>
      <c r="AH1490" t="s">
        <v>5177</v>
      </c>
      <c r="AI1490" t="s">
        <v>5178</v>
      </c>
      <c r="AJ1490" t="s">
        <v>5178</v>
      </c>
      <c r="AL1490" t="s">
        <v>5179</v>
      </c>
      <c r="AS1490" t="s">
        <v>160</v>
      </c>
      <c r="AX1490" s="6">
        <v>75.13</v>
      </c>
      <c r="AY1490" s="6" t="s">
        <v>5180</v>
      </c>
      <c r="AZ1490" s="6" t="s">
        <v>168</v>
      </c>
      <c r="BA1490" s="6"/>
      <c r="BB1490" s="6" t="s">
        <v>168</v>
      </c>
    </row>
    <row r="1491" spans="32:54">
      <c r="AF1491">
        <f t="shared" si="70"/>
        <v>0</v>
      </c>
      <c r="AG1491" t="str">
        <f t="shared" si="71"/>
        <v>CH₃COSH (g)</v>
      </c>
      <c r="AH1491" t="s">
        <v>5181</v>
      </c>
      <c r="AI1491" t="s">
        <v>5182</v>
      </c>
      <c r="AJ1491" t="s">
        <v>5182</v>
      </c>
      <c r="AL1491" t="s">
        <v>5183</v>
      </c>
      <c r="AS1491" t="s">
        <v>47</v>
      </c>
      <c r="AX1491" s="6">
        <v>76.12</v>
      </c>
      <c r="AY1491" s="6" t="s">
        <v>5184</v>
      </c>
      <c r="AZ1491" s="6">
        <v>313.20999999999998</v>
      </c>
      <c r="BA1491" s="6"/>
      <c r="BB1491" s="6">
        <v>-154.01</v>
      </c>
    </row>
    <row r="1492" spans="32:54">
      <c r="AF1492">
        <f t="shared" si="70"/>
        <v>0</v>
      </c>
      <c r="AG1492" t="str">
        <f t="shared" si="71"/>
        <v>CH₃CH₂CH₂SH (I)</v>
      </c>
      <c r="AH1492" t="s">
        <v>5185</v>
      </c>
      <c r="AI1492" t="s">
        <v>5186</v>
      </c>
      <c r="AJ1492" t="s">
        <v>5186</v>
      </c>
      <c r="AL1492" t="s">
        <v>5187</v>
      </c>
      <c r="AS1492" t="s">
        <v>1200</v>
      </c>
      <c r="AX1492" s="6">
        <v>76.16</v>
      </c>
      <c r="AY1492" s="6" t="s">
        <v>5188</v>
      </c>
      <c r="AZ1492" s="6">
        <v>242.5</v>
      </c>
      <c r="BA1492" s="6"/>
      <c r="BB1492" s="6" t="s">
        <v>168</v>
      </c>
    </row>
    <row r="1493" spans="32:54">
      <c r="AF1493">
        <f t="shared" si="70"/>
        <v>0</v>
      </c>
      <c r="AG1493" t="str">
        <f t="shared" si="71"/>
        <v>(CH₃)₂CHSH (I)</v>
      </c>
      <c r="AH1493" t="s">
        <v>5189</v>
      </c>
      <c r="AI1493" t="s">
        <v>5190</v>
      </c>
      <c r="AJ1493" t="s">
        <v>5191</v>
      </c>
      <c r="AL1493" t="s">
        <v>5192</v>
      </c>
      <c r="AS1493" t="s">
        <v>1200</v>
      </c>
      <c r="AX1493" s="6">
        <v>76.16</v>
      </c>
      <c r="AY1493" s="6" t="s">
        <v>5193</v>
      </c>
      <c r="AZ1493" s="6">
        <v>233.5</v>
      </c>
      <c r="BA1493" s="6"/>
      <c r="BB1493" s="6" t="s">
        <v>168</v>
      </c>
    </row>
    <row r="1494" spans="32:54">
      <c r="AF1494">
        <f t="shared" si="70"/>
        <v>0</v>
      </c>
      <c r="AG1494" t="str">
        <f t="shared" si="71"/>
        <v>(CH₃)₂SO (I)</v>
      </c>
      <c r="AH1494" t="s">
        <v>5194</v>
      </c>
      <c r="AI1494" t="s">
        <v>5195</v>
      </c>
      <c r="AJ1494" t="s">
        <v>5196</v>
      </c>
      <c r="AL1494" t="s">
        <v>5197</v>
      </c>
      <c r="AS1494" t="s">
        <v>1200</v>
      </c>
      <c r="AX1494" s="6">
        <v>78.13</v>
      </c>
      <c r="AY1494" s="6" t="s">
        <v>5198</v>
      </c>
      <c r="AZ1494" s="6">
        <v>188.3</v>
      </c>
      <c r="BA1494" s="6"/>
      <c r="BB1494" s="6">
        <v>-99.9</v>
      </c>
    </row>
    <row r="1495" spans="32:54">
      <c r="AF1495">
        <f t="shared" si="70"/>
        <v>0</v>
      </c>
      <c r="AG1495" t="str">
        <f t="shared" si="71"/>
        <v>C₄H₄S (I)</v>
      </c>
      <c r="AH1495" t="s">
        <v>5199</v>
      </c>
      <c r="AI1495" t="s">
        <v>5200</v>
      </c>
      <c r="AJ1495" t="s">
        <v>5200</v>
      </c>
      <c r="AL1495" t="s">
        <v>5201</v>
      </c>
      <c r="AS1495" t="s">
        <v>1200</v>
      </c>
      <c r="AX1495" s="6">
        <v>84.14</v>
      </c>
      <c r="AY1495" s="6" t="s">
        <v>5202</v>
      </c>
      <c r="AZ1495" s="6">
        <v>181.2</v>
      </c>
      <c r="BA1495" s="6"/>
      <c r="BB1495" s="6">
        <v>121.3</v>
      </c>
    </row>
    <row r="1496" spans="32:54">
      <c r="AF1496">
        <f t="shared" si="70"/>
        <v>0</v>
      </c>
      <c r="AG1496" t="str">
        <f t="shared" si="71"/>
        <v>C₄H₄S (g)</v>
      </c>
      <c r="AH1496" t="s">
        <v>5199</v>
      </c>
      <c r="AI1496" t="s">
        <v>5200</v>
      </c>
      <c r="AJ1496" t="s">
        <v>5200</v>
      </c>
      <c r="AL1496" t="s">
        <v>5201</v>
      </c>
      <c r="AS1496" t="s">
        <v>47</v>
      </c>
      <c r="AX1496" s="6">
        <v>84.14</v>
      </c>
      <c r="AY1496" s="6" t="s">
        <v>5203</v>
      </c>
      <c r="AZ1496" s="6">
        <v>278.8</v>
      </c>
      <c r="BA1496" s="6"/>
      <c r="BB1496" s="6">
        <v>126.86</v>
      </c>
    </row>
    <row r="1497" spans="32:54">
      <c r="AF1497">
        <f t="shared" si="70"/>
        <v>0</v>
      </c>
      <c r="AG1497" t="str">
        <f t="shared" si="71"/>
        <v>(CH₃CH₂)₂S (I)</v>
      </c>
      <c r="AH1497" t="s">
        <v>5204</v>
      </c>
      <c r="AI1497" t="s">
        <v>5205</v>
      </c>
      <c r="AJ1497" t="s">
        <v>5206</v>
      </c>
      <c r="AL1497" t="s">
        <v>5207</v>
      </c>
      <c r="AS1497" t="s">
        <v>1200</v>
      </c>
      <c r="AX1497" s="6">
        <v>90.19</v>
      </c>
      <c r="AY1497" s="6" t="s">
        <v>5208</v>
      </c>
      <c r="AZ1497" s="6">
        <v>269.3</v>
      </c>
      <c r="BA1497" s="6"/>
      <c r="BB1497" s="6" t="s">
        <v>168</v>
      </c>
    </row>
    <row r="1498" spans="32:54">
      <c r="AF1498">
        <f t="shared" si="70"/>
        <v>0</v>
      </c>
      <c r="AG1498" t="str">
        <f t="shared" si="71"/>
        <v>C₆H₅SH (I)</v>
      </c>
      <c r="AH1498" t="s">
        <v>5209</v>
      </c>
      <c r="AI1498" t="s">
        <v>5210</v>
      </c>
      <c r="AJ1498" t="s">
        <v>5210</v>
      </c>
      <c r="AK1498" t="s">
        <v>5211</v>
      </c>
      <c r="AL1498" t="s">
        <v>5212</v>
      </c>
      <c r="AS1498" t="s">
        <v>1200</v>
      </c>
      <c r="AX1498" s="6">
        <v>110.18</v>
      </c>
      <c r="AY1498" s="6" t="s">
        <v>5213</v>
      </c>
      <c r="AZ1498" s="6">
        <v>222.8</v>
      </c>
      <c r="BA1498" s="6"/>
      <c r="BB1498" s="6" t="s">
        <v>168</v>
      </c>
    </row>
    <row r="1499" spans="32:54">
      <c r="AF1499">
        <f t="shared" si="70"/>
        <v>0</v>
      </c>
      <c r="AG1499" t="str">
        <f t="shared" si="71"/>
        <v>NH₂(CH₂)₂SO₃H (s)</v>
      </c>
      <c r="AH1499" t="s">
        <v>5113</v>
      </c>
      <c r="AI1499" t="s">
        <v>5114</v>
      </c>
      <c r="AJ1499" t="s">
        <v>5115</v>
      </c>
      <c r="AK1499" t="s">
        <v>5214</v>
      </c>
      <c r="AL1499" t="s">
        <v>5116</v>
      </c>
      <c r="AS1499" t="s">
        <v>160</v>
      </c>
      <c r="AX1499" s="6">
        <v>125.15</v>
      </c>
      <c r="AY1499" s="6" t="s">
        <v>5215</v>
      </c>
      <c r="AZ1499" s="6">
        <v>154</v>
      </c>
      <c r="BA1499" s="6"/>
      <c r="BB1499" s="6">
        <v>-561.9</v>
      </c>
    </row>
    <row r="1500" spans="32:54">
      <c r="AF1500">
        <f t="shared" si="70"/>
        <v>0</v>
      </c>
      <c r="AG1500" t="str">
        <f t="shared" si="71"/>
        <v>NH₂(CH₂)₂SO₃H (aq)</v>
      </c>
      <c r="AH1500" t="s">
        <v>5113</v>
      </c>
      <c r="AI1500" t="s">
        <v>5114</v>
      </c>
      <c r="AJ1500" t="s">
        <v>5115</v>
      </c>
      <c r="AL1500" t="s">
        <v>5116</v>
      </c>
      <c r="AS1500" t="s">
        <v>48</v>
      </c>
      <c r="AX1500" s="6">
        <v>125.15</v>
      </c>
      <c r="AY1500" s="6" t="s">
        <v>5216</v>
      </c>
      <c r="AZ1500" s="6">
        <v>233</v>
      </c>
      <c r="BA1500" s="6"/>
      <c r="BB1500" s="6">
        <v>-561.20000000000005</v>
      </c>
    </row>
    <row r="1501" spans="32:54">
      <c r="AF1501">
        <f t="shared" si="70"/>
        <v>0</v>
      </c>
      <c r="AG1501" t="str">
        <f t="shared" si="71"/>
        <v>NH₂(CH₂)₂SO₃⁻ (aq)</v>
      </c>
      <c r="AH1501" t="s">
        <v>5117</v>
      </c>
      <c r="AI1501" t="s">
        <v>5118</v>
      </c>
      <c r="AJ1501" t="s">
        <v>5119</v>
      </c>
      <c r="AL1501" t="s">
        <v>5217</v>
      </c>
      <c r="AS1501" t="s">
        <v>48</v>
      </c>
      <c r="AX1501" s="6">
        <v>124.14</v>
      </c>
      <c r="AY1501" s="6" t="s">
        <v>5218</v>
      </c>
      <c r="AZ1501" s="6">
        <v>200</v>
      </c>
      <c r="BA1501" s="6"/>
      <c r="BB1501" s="6">
        <v>-509.44</v>
      </c>
    </row>
    <row r="1502" spans="32:54">
      <c r="AF1502">
        <f t="shared" si="70"/>
        <v>0</v>
      </c>
      <c r="AG1502" t="str">
        <f t="shared" si="71"/>
        <v/>
      </c>
      <c r="AH1502" t="s">
        <v>5219</v>
      </c>
      <c r="AI1502" t="s">
        <v>5220</v>
      </c>
      <c r="AJ1502" t="s">
        <v>5221</v>
      </c>
      <c r="AK1502" t="s">
        <v>5222</v>
      </c>
      <c r="AL1502" t="s">
        <v>5223</v>
      </c>
      <c r="AX1502" s="6">
        <v>159.08000000000001</v>
      </c>
      <c r="AY1502" s="6" t="s">
        <v>168</v>
      </c>
      <c r="AZ1502" s="6" t="s">
        <v>168</v>
      </c>
      <c r="BA1502" s="6"/>
      <c r="BB1502" s="6" t="s">
        <v>168</v>
      </c>
    </row>
    <row r="1503" spans="32:54">
      <c r="AF1503">
        <f t="shared" si="70"/>
        <v>0</v>
      </c>
      <c r="AG1503" t="str">
        <f t="shared" si="71"/>
        <v/>
      </c>
      <c r="AH1503" t="s">
        <v>5224</v>
      </c>
      <c r="AI1503" t="s">
        <v>5225</v>
      </c>
      <c r="AJ1503" t="s">
        <v>5225</v>
      </c>
      <c r="AL1503" t="s">
        <v>5226</v>
      </c>
      <c r="AX1503" s="6">
        <v>158.18</v>
      </c>
      <c r="AY1503" s="6" t="s">
        <v>168</v>
      </c>
      <c r="AZ1503" s="6" t="s">
        <v>168</v>
      </c>
      <c r="BA1503" s="6"/>
      <c r="BB1503" s="6" t="s">
        <v>168</v>
      </c>
    </row>
    <row r="1504" spans="32:54">
      <c r="AF1504">
        <f t="shared" si="70"/>
        <v>0</v>
      </c>
      <c r="AG1504" t="str">
        <f t="shared" si="71"/>
        <v/>
      </c>
      <c r="AH1504" t="s">
        <v>5227</v>
      </c>
      <c r="AI1504" t="s">
        <v>5228</v>
      </c>
      <c r="AJ1504" t="s">
        <v>5228</v>
      </c>
      <c r="AK1504" t="s">
        <v>5229</v>
      </c>
      <c r="AL1504" t="s">
        <v>5230</v>
      </c>
      <c r="AX1504" s="6">
        <v>172.2</v>
      </c>
      <c r="AY1504" s="6" t="s">
        <v>168</v>
      </c>
      <c r="AZ1504" s="6" t="s">
        <v>168</v>
      </c>
      <c r="BA1504" s="6"/>
      <c r="BB1504" s="6" t="s">
        <v>168</v>
      </c>
    </row>
    <row r="1505" spans="32:54">
      <c r="AF1505">
        <f t="shared" si="70"/>
        <v>0</v>
      </c>
      <c r="AG1505" t="str">
        <f t="shared" si="71"/>
        <v/>
      </c>
      <c r="AH1505" t="s">
        <v>5231</v>
      </c>
      <c r="AI1505" t="s">
        <v>5232</v>
      </c>
      <c r="AJ1505" t="s">
        <v>5232</v>
      </c>
      <c r="AK1505" t="s">
        <v>5233</v>
      </c>
      <c r="AL1505" t="s">
        <v>5234</v>
      </c>
      <c r="AX1505" s="6">
        <v>173.19</v>
      </c>
      <c r="AY1505" s="6" t="s">
        <v>168</v>
      </c>
      <c r="AZ1505" s="6" t="s">
        <v>168</v>
      </c>
      <c r="BA1505" s="6"/>
      <c r="BB1505" s="6" t="s">
        <v>168</v>
      </c>
    </row>
    <row r="1506" spans="32:54">
      <c r="AF1506">
        <f t="shared" si="70"/>
        <v>0</v>
      </c>
      <c r="AG1506" t="str">
        <f t="shared" si="71"/>
        <v>(C₆H₅)₂S (I)</v>
      </c>
      <c r="AH1506" t="s">
        <v>5235</v>
      </c>
      <c r="AI1506" t="s">
        <v>5236</v>
      </c>
      <c r="AJ1506" t="s">
        <v>5237</v>
      </c>
      <c r="AL1506" t="s">
        <v>5238</v>
      </c>
      <c r="AS1506" t="s">
        <v>1200</v>
      </c>
      <c r="AX1506" s="6">
        <v>186.28</v>
      </c>
      <c r="AY1506" s="6" t="s">
        <v>5239</v>
      </c>
      <c r="AZ1506" s="6" t="s">
        <v>168</v>
      </c>
      <c r="BA1506" s="6"/>
      <c r="BB1506" s="6" t="s">
        <v>168</v>
      </c>
    </row>
    <row r="1507" spans="32:54">
      <c r="AF1507">
        <f t="shared" si="70"/>
        <v>0</v>
      </c>
      <c r="AG1507" t="str">
        <f t="shared" si="71"/>
        <v>(C₆H₅)₂SO (s)</v>
      </c>
      <c r="AH1507" t="s">
        <v>5240</v>
      </c>
      <c r="AI1507" t="s">
        <v>5241</v>
      </c>
      <c r="AJ1507" t="s">
        <v>5242</v>
      </c>
      <c r="AL1507" t="s">
        <v>5243</v>
      </c>
      <c r="AS1507" t="s">
        <v>160</v>
      </c>
      <c r="AX1507" s="6">
        <v>202.28</v>
      </c>
      <c r="AY1507" s="6" t="s">
        <v>5244</v>
      </c>
      <c r="AZ1507" s="6" t="s">
        <v>168</v>
      </c>
      <c r="BA1507" s="6"/>
      <c r="BB1507" s="6" t="s">
        <v>168</v>
      </c>
    </row>
    <row r="1508" spans="32:54">
      <c r="AF1508">
        <f t="shared" si="70"/>
        <v>0</v>
      </c>
      <c r="AG1508" t="str">
        <f t="shared" si="71"/>
        <v>(C₆H₅)₂SO₂ (s)</v>
      </c>
      <c r="AH1508" t="s">
        <v>5245</v>
      </c>
      <c r="AI1508" t="s">
        <v>5246</v>
      </c>
      <c r="AJ1508" t="s">
        <v>5247</v>
      </c>
      <c r="AL1508" t="s">
        <v>5248</v>
      </c>
      <c r="AS1508" t="s">
        <v>160</v>
      </c>
      <c r="AX1508" s="6">
        <v>218.27</v>
      </c>
      <c r="AY1508" s="6" t="s">
        <v>5249</v>
      </c>
      <c r="AZ1508" s="6" t="s">
        <v>168</v>
      </c>
      <c r="BA1508" s="6"/>
      <c r="BB1508" s="6" t="s">
        <v>168</v>
      </c>
    </row>
    <row r="1509" spans="32:54">
      <c r="AF1509">
        <f t="shared" si="70"/>
        <v>0</v>
      </c>
      <c r="AG1509" t="str">
        <f t="shared" ref="AG1509:AG1572" si="72">IF(AT1509 &lt;&gt; "",AH1509&amp;" ("&amp;AT1509 &amp;")","")</f>
        <v/>
      </c>
      <c r="AH1509" t="s">
        <v>5250</v>
      </c>
      <c r="AI1509" t="s">
        <v>5251</v>
      </c>
      <c r="AJ1509" t="s">
        <v>5252</v>
      </c>
      <c r="AK1509" t="s">
        <v>5253</v>
      </c>
      <c r="AL1509" t="s">
        <v>5254</v>
      </c>
      <c r="AX1509" s="6">
        <v>296.54000000000002</v>
      </c>
      <c r="AY1509" s="6" t="s">
        <v>168</v>
      </c>
      <c r="AZ1509" s="6" t="s">
        <v>168</v>
      </c>
      <c r="BA1509" s="6"/>
      <c r="BB1509" s="6" t="s">
        <v>168</v>
      </c>
    </row>
    <row r="1510" spans="32:54">
      <c r="AF1510">
        <f t="shared" si="70"/>
        <v>0</v>
      </c>
      <c r="AG1510" t="str">
        <f t="shared" si="72"/>
        <v/>
      </c>
      <c r="AH1510" t="s">
        <v>5255</v>
      </c>
      <c r="AI1510" t="s">
        <v>5256</v>
      </c>
      <c r="AJ1510" t="s">
        <v>5257</v>
      </c>
      <c r="AL1510" t="s">
        <v>5258</v>
      </c>
      <c r="AX1510" s="6">
        <v>96.085999999999999</v>
      </c>
      <c r="AY1510" s="6"/>
      <c r="AZ1510" s="6"/>
      <c r="BA1510" s="6"/>
      <c r="BB1510" s="6"/>
    </row>
    <row r="1511" spans="32:54">
      <c r="AF1511">
        <f t="shared" si="70"/>
        <v>0</v>
      </c>
      <c r="AG1511" t="str">
        <f t="shared" si="72"/>
        <v/>
      </c>
      <c r="AH1511" t="s">
        <v>5259</v>
      </c>
      <c r="AI1511" t="s">
        <v>5260</v>
      </c>
      <c r="AJ1511" t="s">
        <v>5261</v>
      </c>
      <c r="AL1511" t="s">
        <v>5262</v>
      </c>
      <c r="AX1511" s="6">
        <v>212.99600000000001</v>
      </c>
      <c r="AY1511" s="6"/>
      <c r="AZ1511" s="6"/>
      <c r="BA1511" s="6"/>
      <c r="BB1511" s="6"/>
    </row>
    <row r="1512" spans="32:54">
      <c r="AF1512">
        <f t="shared" si="70"/>
        <v>0</v>
      </c>
      <c r="AG1512" t="str">
        <f t="shared" si="72"/>
        <v/>
      </c>
      <c r="AH1512" t="s">
        <v>5263</v>
      </c>
      <c r="AI1512" t="s">
        <v>5264</v>
      </c>
      <c r="AJ1512" t="s">
        <v>5264</v>
      </c>
      <c r="AL1512" t="s">
        <v>5265</v>
      </c>
      <c r="AX1512" s="6">
        <v>407.69499999999999</v>
      </c>
      <c r="AY1512" s="6"/>
      <c r="AZ1512" s="6"/>
      <c r="BA1512" s="6"/>
      <c r="BB1512" s="6"/>
    </row>
    <row r="1513" spans="32:54">
      <c r="AF1513">
        <f t="shared" si="70"/>
        <v>0</v>
      </c>
      <c r="AG1513" t="str">
        <f t="shared" si="72"/>
        <v/>
      </c>
      <c r="AH1513" t="s">
        <v>5266</v>
      </c>
      <c r="AI1513" t="s">
        <v>5267</v>
      </c>
      <c r="AJ1513" t="s">
        <v>5267</v>
      </c>
      <c r="AL1513" t="s">
        <v>5268</v>
      </c>
      <c r="AX1513" s="6">
        <v>391.13600000000002</v>
      </c>
      <c r="AY1513" s="6"/>
      <c r="AZ1513" s="6"/>
      <c r="BA1513" s="6"/>
      <c r="BB1513" s="6"/>
    </row>
    <row r="1514" spans="32:54">
      <c r="AF1514">
        <f t="shared" si="70"/>
        <v>0</v>
      </c>
      <c r="AG1514" t="str">
        <f t="shared" si="72"/>
        <v/>
      </c>
      <c r="AH1514" t="s">
        <v>5269</v>
      </c>
      <c r="AI1514" t="s">
        <v>5270</v>
      </c>
      <c r="AJ1514" t="s">
        <v>5270</v>
      </c>
      <c r="AL1514" t="s">
        <v>5271</v>
      </c>
      <c r="AX1514" s="6">
        <v>58.036999999999999</v>
      </c>
      <c r="AY1514" s="6"/>
      <c r="AZ1514" s="6"/>
      <c r="BA1514" s="6"/>
      <c r="BB1514" s="6"/>
    </row>
    <row r="1515" spans="32:54">
      <c r="AF1515">
        <f t="shared" si="70"/>
        <v>0</v>
      </c>
      <c r="AG1515" t="str">
        <f t="shared" si="72"/>
        <v/>
      </c>
      <c r="AH1515" t="s">
        <v>5272</v>
      </c>
      <c r="AI1515" t="s">
        <v>5273</v>
      </c>
      <c r="AJ1515" t="s">
        <v>5273</v>
      </c>
      <c r="AL1515" t="s">
        <v>5274</v>
      </c>
      <c r="AX1515" s="6">
        <v>46.069000000000003</v>
      </c>
      <c r="AY1515" s="6"/>
      <c r="AZ1515" s="6"/>
      <c r="BA1515" s="6"/>
      <c r="BB1515" s="6"/>
    </row>
    <row r="1516" spans="32:54">
      <c r="AF1516">
        <f t="shared" si="70"/>
        <v>0</v>
      </c>
      <c r="AG1516" t="str">
        <f t="shared" si="72"/>
        <v/>
      </c>
      <c r="AH1516" t="s">
        <v>5275</v>
      </c>
      <c r="AI1516" t="s">
        <v>5276</v>
      </c>
      <c r="AJ1516" t="s">
        <v>5276</v>
      </c>
      <c r="AL1516" t="s">
        <v>5277</v>
      </c>
      <c r="AX1516" s="6">
        <v>68.051000000000002</v>
      </c>
      <c r="AY1516" s="6"/>
      <c r="AZ1516" s="6"/>
      <c r="BA1516" s="6"/>
      <c r="BB1516" s="6"/>
    </row>
    <row r="1517" spans="32:54">
      <c r="AF1517">
        <f t="shared" si="70"/>
        <v>0</v>
      </c>
      <c r="AG1517" t="str">
        <f t="shared" si="72"/>
        <v/>
      </c>
      <c r="AH1517" t="s">
        <v>5278</v>
      </c>
      <c r="AI1517" t="s">
        <v>5279</v>
      </c>
      <c r="AJ1517" t="s">
        <v>5279</v>
      </c>
      <c r="AL1517" t="s">
        <v>5280</v>
      </c>
      <c r="AX1517" s="6">
        <v>120.142</v>
      </c>
      <c r="AY1517" s="6"/>
      <c r="AZ1517" s="6"/>
      <c r="BA1517" s="6"/>
      <c r="BB1517" s="6"/>
    </row>
    <row r="1518" spans="32:54">
      <c r="AF1518">
        <f t="shared" si="70"/>
        <v>0</v>
      </c>
      <c r="AG1518" t="str">
        <f t="shared" si="72"/>
        <v/>
      </c>
      <c r="AH1518" t="s">
        <v>5281</v>
      </c>
      <c r="AI1518" t="s">
        <v>5282</v>
      </c>
      <c r="AJ1518" t="s">
        <v>5283</v>
      </c>
      <c r="AL1518" t="s">
        <v>5284</v>
      </c>
      <c r="AX1518" s="6">
        <v>32.042000000000002</v>
      </c>
      <c r="AY1518" s="6"/>
      <c r="AZ1518" s="6"/>
      <c r="BA1518" s="6"/>
      <c r="BB1518" s="6"/>
    </row>
    <row r="1519" spans="32:54">
      <c r="AF1519">
        <f t="shared" si="70"/>
        <v>0</v>
      </c>
      <c r="AG1519" t="str">
        <f t="shared" si="72"/>
        <v/>
      </c>
      <c r="AH1519" t="s">
        <v>5285</v>
      </c>
      <c r="AI1519" t="s">
        <v>5286</v>
      </c>
      <c r="AJ1519" t="s">
        <v>5286</v>
      </c>
      <c r="AL1519" t="s">
        <v>5287</v>
      </c>
      <c r="AX1519" s="6">
        <v>44.052999999999997</v>
      </c>
      <c r="AY1519" s="6"/>
      <c r="AZ1519" s="6"/>
      <c r="BA1519" s="6"/>
      <c r="BB1519" s="6"/>
    </row>
    <row r="1520" spans="32:54">
      <c r="AF1520">
        <f t="shared" si="70"/>
        <v>0</v>
      </c>
      <c r="AG1520" t="str">
        <f t="shared" si="72"/>
        <v/>
      </c>
      <c r="AH1520" t="s">
        <v>5288</v>
      </c>
      <c r="AI1520" t="s">
        <v>5289</v>
      </c>
      <c r="AJ1520" t="s">
        <v>5289</v>
      </c>
      <c r="AL1520" t="s">
        <v>5290</v>
      </c>
      <c r="AX1520" s="6">
        <v>42.036999999999999</v>
      </c>
      <c r="AY1520" s="6"/>
      <c r="AZ1520" s="6"/>
      <c r="BA1520" s="6"/>
      <c r="BB1520" s="6"/>
    </row>
    <row r="1521" spans="32:54">
      <c r="AF1521">
        <f t="shared" si="70"/>
        <v>0</v>
      </c>
      <c r="AG1521" t="str">
        <f t="shared" si="72"/>
        <v/>
      </c>
      <c r="AH1521" t="s">
        <v>5291</v>
      </c>
      <c r="AI1521" t="s">
        <v>5292</v>
      </c>
      <c r="AJ1521" t="s">
        <v>5292</v>
      </c>
      <c r="AL1521" t="s">
        <v>5293</v>
      </c>
      <c r="AX1521" s="6">
        <v>30.026</v>
      </c>
      <c r="AY1521" s="6"/>
      <c r="AZ1521" s="6"/>
      <c r="BA1521" s="6"/>
      <c r="BB1521" s="6"/>
    </row>
    <row r="1522" spans="32:54">
      <c r="AF1522">
        <f t="shared" si="70"/>
        <v>0</v>
      </c>
      <c r="AG1522" t="str">
        <f t="shared" si="72"/>
        <v/>
      </c>
      <c r="AH1522" t="s">
        <v>5294</v>
      </c>
      <c r="AI1522" t="s">
        <v>5295</v>
      </c>
      <c r="AJ1522" t="s">
        <v>5295</v>
      </c>
      <c r="AL1522" t="s">
        <v>5296</v>
      </c>
      <c r="AX1522" s="6">
        <v>82.034000000000006</v>
      </c>
      <c r="AY1522" s="6"/>
      <c r="AZ1522" s="6"/>
      <c r="BA1522" s="6"/>
      <c r="BB1522" s="6"/>
    </row>
    <row r="1523" spans="32:54">
      <c r="AF1523">
        <f t="shared" si="70"/>
        <v>0</v>
      </c>
      <c r="AG1523" t="str">
        <f t="shared" si="72"/>
        <v/>
      </c>
      <c r="AH1523" t="s">
        <v>5297</v>
      </c>
      <c r="AI1523" t="s">
        <v>5298</v>
      </c>
      <c r="AJ1523" t="s">
        <v>5298</v>
      </c>
      <c r="AL1523" t="s">
        <v>5299</v>
      </c>
      <c r="AX1523" s="6">
        <v>46.069000000000003</v>
      </c>
      <c r="AY1523" s="6"/>
      <c r="AZ1523" s="6"/>
      <c r="BA1523" s="6"/>
      <c r="BB1523" s="6"/>
    </row>
    <row r="1524" spans="32:54">
      <c r="AF1524">
        <f t="shared" si="70"/>
        <v>0</v>
      </c>
      <c r="AG1524" t="str">
        <f t="shared" si="72"/>
        <v/>
      </c>
      <c r="AH1524" t="s">
        <v>5300</v>
      </c>
      <c r="AI1524" t="s">
        <v>5301</v>
      </c>
      <c r="AJ1524" t="s">
        <v>5302</v>
      </c>
      <c r="AL1524" t="s">
        <v>5303</v>
      </c>
      <c r="AX1524" s="6">
        <v>238.011</v>
      </c>
      <c r="AY1524" s="6"/>
      <c r="AZ1524" s="6"/>
      <c r="BA1524" s="6"/>
      <c r="BB1524" s="6"/>
    </row>
    <row r="1525" spans="32:54">
      <c r="AF1525">
        <f t="shared" si="70"/>
        <v>0</v>
      </c>
      <c r="AG1525" t="str">
        <f t="shared" si="72"/>
        <v/>
      </c>
      <c r="AH1525" t="s">
        <v>5304</v>
      </c>
      <c r="AI1525" t="s">
        <v>5305</v>
      </c>
      <c r="AJ1525" t="s">
        <v>5306</v>
      </c>
      <c r="AL1525" t="s">
        <v>5307</v>
      </c>
      <c r="AX1525" s="6">
        <v>187.55600000000001</v>
      </c>
      <c r="AY1525" s="6"/>
      <c r="AZ1525" s="6"/>
      <c r="BA1525" s="6"/>
      <c r="BB1525" s="6"/>
    </row>
    <row r="1526" spans="32:54">
      <c r="AF1526">
        <f t="shared" si="70"/>
        <v>0</v>
      </c>
      <c r="AG1526" t="str">
        <f t="shared" si="72"/>
        <v/>
      </c>
      <c r="AH1526" t="s">
        <v>5308</v>
      </c>
      <c r="AI1526" t="s">
        <v>5309</v>
      </c>
      <c r="AJ1526" t="s">
        <v>5310</v>
      </c>
      <c r="AL1526" t="s">
        <v>5311</v>
      </c>
      <c r="AX1526" s="6">
        <v>295.64800000000002</v>
      </c>
      <c r="AY1526" s="6"/>
      <c r="AZ1526" s="6"/>
      <c r="BA1526" s="6"/>
      <c r="BB1526" s="6"/>
    </row>
    <row r="1527" spans="32:54">
      <c r="AF1527">
        <f t="shared" si="70"/>
        <v>0</v>
      </c>
      <c r="AG1527" t="str">
        <f t="shared" si="72"/>
        <v/>
      </c>
      <c r="AH1527" t="s">
        <v>5312</v>
      </c>
      <c r="AI1527" t="s">
        <v>5313</v>
      </c>
      <c r="AJ1527" t="s">
        <v>5314</v>
      </c>
      <c r="AL1527" t="s">
        <v>5315</v>
      </c>
      <c r="AX1527" s="6">
        <v>73.861999999999995</v>
      </c>
      <c r="AY1527" s="6"/>
      <c r="AZ1527" s="6"/>
      <c r="BA1527" s="6"/>
      <c r="BB1527" s="6"/>
    </row>
    <row r="1528" spans="32:54">
      <c r="AF1528">
        <f t="shared" si="70"/>
        <v>0</v>
      </c>
      <c r="AG1528" t="str">
        <f t="shared" si="72"/>
        <v/>
      </c>
      <c r="AH1528" t="s">
        <v>5316</v>
      </c>
      <c r="AI1528" t="s">
        <v>5317</v>
      </c>
      <c r="AJ1528" t="s">
        <v>5317</v>
      </c>
      <c r="AL1528" t="s">
        <v>5318</v>
      </c>
      <c r="AX1528" s="6">
        <v>212.26599999999999</v>
      </c>
      <c r="AY1528" s="6"/>
      <c r="AZ1528" s="6"/>
      <c r="BA1528" s="6"/>
      <c r="BB1528" s="6"/>
    </row>
    <row r="1529" spans="32:54">
      <c r="AF1529">
        <f t="shared" si="70"/>
        <v>0</v>
      </c>
      <c r="AG1529" t="str">
        <f t="shared" si="72"/>
        <v/>
      </c>
      <c r="AH1529" t="s">
        <v>5319</v>
      </c>
      <c r="AI1529" t="s">
        <v>5320</v>
      </c>
      <c r="AJ1529" t="s">
        <v>5320</v>
      </c>
      <c r="AL1529" t="s">
        <v>5321</v>
      </c>
      <c r="AX1529" s="6">
        <v>68.945999999999998</v>
      </c>
      <c r="AY1529" s="6"/>
      <c r="AZ1529" s="6"/>
      <c r="BA1529" s="6"/>
      <c r="BB1529" s="6"/>
    </row>
    <row r="1530" spans="32:54">
      <c r="AF1530">
        <f t="shared" si="70"/>
        <v>0</v>
      </c>
      <c r="AG1530" t="str">
        <f t="shared" si="72"/>
        <v/>
      </c>
      <c r="AH1530" t="s">
        <v>5322</v>
      </c>
      <c r="AI1530" t="s">
        <v>5323</v>
      </c>
      <c r="AJ1530" t="s">
        <v>5324</v>
      </c>
      <c r="AL1530" t="s">
        <v>5325</v>
      </c>
      <c r="AX1530" s="6">
        <v>178.94800000000001</v>
      </c>
      <c r="AY1530" s="6"/>
      <c r="AZ1530" s="6"/>
      <c r="BA1530" s="6"/>
      <c r="BB1530" s="6"/>
    </row>
    <row r="1531" spans="32:54">
      <c r="AF1531">
        <f t="shared" si="70"/>
        <v>0</v>
      </c>
      <c r="AG1531" t="str">
        <f t="shared" si="72"/>
        <v/>
      </c>
      <c r="AH1531" t="s">
        <v>5326</v>
      </c>
      <c r="AI1531" t="s">
        <v>5327</v>
      </c>
      <c r="AJ1531" t="s">
        <v>5327</v>
      </c>
      <c r="AL1531" t="s">
        <v>5328</v>
      </c>
      <c r="AX1531" s="6">
        <v>125.959</v>
      </c>
      <c r="AY1531" s="6"/>
      <c r="AZ1531" s="6"/>
      <c r="BA1531" s="6"/>
      <c r="BB1531" s="6"/>
    </row>
    <row r="1532" spans="32:54">
      <c r="AF1532">
        <f t="shared" si="70"/>
        <v>0</v>
      </c>
      <c r="AG1532" t="str">
        <f t="shared" si="72"/>
        <v/>
      </c>
      <c r="AH1532" t="s">
        <v>5329</v>
      </c>
      <c r="AI1532" t="s">
        <v>5330</v>
      </c>
      <c r="AJ1532" t="s">
        <v>5330</v>
      </c>
      <c r="AL1532" t="s">
        <v>5331</v>
      </c>
      <c r="AX1532" s="6">
        <v>141.959</v>
      </c>
      <c r="AY1532" s="6"/>
      <c r="AZ1532" s="6"/>
      <c r="BA1532" s="6"/>
      <c r="BB1532" s="6"/>
    </row>
    <row r="1533" spans="32:54">
      <c r="AF1533">
        <f t="shared" si="70"/>
        <v>0</v>
      </c>
      <c r="AG1533" t="str">
        <f t="shared" si="72"/>
        <v/>
      </c>
      <c r="AH1533" t="s">
        <v>5332</v>
      </c>
      <c r="AI1533" t="s">
        <v>5333</v>
      </c>
      <c r="AJ1533" t="s">
        <v>5333</v>
      </c>
      <c r="AL1533" t="s">
        <v>5334</v>
      </c>
      <c r="AX1533" s="6">
        <v>119.977</v>
      </c>
      <c r="AY1533" s="6"/>
      <c r="AZ1533" s="6"/>
      <c r="BA1533" s="6"/>
      <c r="BB1533" s="6"/>
    </row>
    <row r="1534" spans="32:54">
      <c r="AF1534">
        <f t="shared" si="70"/>
        <v>0</v>
      </c>
      <c r="AG1534" t="str">
        <f t="shared" si="72"/>
        <v/>
      </c>
      <c r="AH1534" t="s">
        <v>5335</v>
      </c>
      <c r="AI1534" t="s">
        <v>5336</v>
      </c>
      <c r="AJ1534" t="s">
        <v>5336</v>
      </c>
      <c r="AL1534" t="s">
        <v>5337</v>
      </c>
      <c r="AX1534" s="6">
        <v>35.045999999999999</v>
      </c>
      <c r="AY1534" s="6"/>
      <c r="AZ1534" s="6"/>
      <c r="BA1534" s="6"/>
      <c r="BB1534" s="6"/>
    </row>
    <row r="1535" spans="32:54">
      <c r="AF1535">
        <f t="shared" si="70"/>
        <v>0</v>
      </c>
      <c r="AG1535" t="str">
        <f t="shared" si="72"/>
        <v/>
      </c>
      <c r="AH1535" t="s">
        <v>5338</v>
      </c>
      <c r="AI1535" t="s">
        <v>5339</v>
      </c>
      <c r="AJ1535" t="s">
        <v>5339</v>
      </c>
      <c r="AL1535" t="s">
        <v>5340</v>
      </c>
      <c r="AX1535" s="6">
        <v>394.72</v>
      </c>
      <c r="AY1535" s="6"/>
      <c r="AZ1535" s="6"/>
      <c r="BA1535" s="6"/>
      <c r="BB1535" s="6"/>
    </row>
    <row r="1536" spans="32:54">
      <c r="AF1536">
        <f t="shared" si="70"/>
        <v>0</v>
      </c>
      <c r="AG1536" t="str">
        <f t="shared" si="72"/>
        <v/>
      </c>
      <c r="AH1536" t="s">
        <v>5341</v>
      </c>
      <c r="AI1536" t="s">
        <v>5342</v>
      </c>
      <c r="AJ1536" t="s">
        <v>5342</v>
      </c>
      <c r="AK1536" t="s">
        <v>5343</v>
      </c>
      <c r="AL1536" t="s">
        <v>5344</v>
      </c>
      <c r="AX1536" s="6">
        <v>46.006</v>
      </c>
      <c r="AY1536" s="6"/>
      <c r="AZ1536" s="6"/>
      <c r="BA1536" s="6"/>
      <c r="BB1536" s="6"/>
    </row>
    <row r="1537" spans="32:54">
      <c r="AF1537">
        <f t="shared" si="70"/>
        <v>0</v>
      </c>
      <c r="AG1537" t="str">
        <f t="shared" si="72"/>
        <v/>
      </c>
      <c r="AH1537" t="s">
        <v>5345</v>
      </c>
      <c r="AI1537" t="s">
        <v>5346</v>
      </c>
      <c r="AJ1537" t="s">
        <v>5346</v>
      </c>
      <c r="AL1537" t="s">
        <v>5347</v>
      </c>
      <c r="AX1537" s="6">
        <v>14.01</v>
      </c>
      <c r="AY1537" s="6"/>
      <c r="AZ1537" s="6"/>
      <c r="BA1537" s="6"/>
      <c r="BB1537" s="6"/>
    </row>
    <row r="1538" spans="32:54">
      <c r="AF1538">
        <f t="shared" si="70"/>
        <v>0</v>
      </c>
      <c r="AG1538" t="str">
        <f t="shared" si="72"/>
        <v/>
      </c>
      <c r="AH1538" t="s">
        <v>5348</v>
      </c>
      <c r="AI1538" t="s">
        <v>5349</v>
      </c>
      <c r="AJ1538" t="s">
        <v>5350</v>
      </c>
      <c r="AL1538" t="s">
        <v>5303</v>
      </c>
      <c r="AX1538" s="6">
        <v>176.006</v>
      </c>
      <c r="AY1538" s="6"/>
      <c r="AZ1538" s="6"/>
      <c r="BA1538" s="6"/>
      <c r="BB1538" s="6"/>
    </row>
    <row r="1539" spans="32:54">
      <c r="AF1539">
        <f t="shared" ref="AF1539:AF1602" si="73">IF(OR(AG1539="",COUNTIF(AG:AG, AG1539) = 1),0, "1")</f>
        <v>0</v>
      </c>
      <c r="AG1539" t="str">
        <f t="shared" si="72"/>
        <v/>
      </c>
      <c r="AH1539" t="s">
        <v>5351</v>
      </c>
      <c r="AI1539" t="s">
        <v>5352</v>
      </c>
      <c r="AJ1539" t="s">
        <v>5353</v>
      </c>
      <c r="AL1539" t="s">
        <v>5354</v>
      </c>
      <c r="AX1539" s="6">
        <v>421.84100000000001</v>
      </c>
      <c r="AY1539" s="6"/>
      <c r="AZ1539" s="6"/>
      <c r="BA1539" s="6"/>
      <c r="BB1539" s="6"/>
    </row>
    <row r="1540" spans="32:54">
      <c r="AF1540">
        <f t="shared" si="73"/>
        <v>0</v>
      </c>
      <c r="AG1540" t="str">
        <f t="shared" si="72"/>
        <v/>
      </c>
      <c r="AH1540" t="s">
        <v>5355</v>
      </c>
      <c r="AI1540" t="s">
        <v>5356</v>
      </c>
      <c r="AJ1540" t="s">
        <v>5357</v>
      </c>
      <c r="AL1540" t="s">
        <v>5358</v>
      </c>
      <c r="AX1540" s="6">
        <v>179.857</v>
      </c>
      <c r="AY1540" s="6"/>
      <c r="AZ1540" s="6"/>
      <c r="BA1540" s="6"/>
      <c r="BB1540" s="6"/>
    </row>
    <row r="1541" spans="32:54">
      <c r="AF1541">
        <f t="shared" si="73"/>
        <v>0</v>
      </c>
      <c r="AG1541" t="str">
        <f t="shared" si="72"/>
        <v/>
      </c>
      <c r="AH1541" t="s">
        <v>5359</v>
      </c>
      <c r="AI1541" t="s">
        <v>5360</v>
      </c>
      <c r="AJ1541" t="s">
        <v>5360</v>
      </c>
      <c r="AL1541" t="s">
        <v>5361</v>
      </c>
      <c r="AX1541" s="6">
        <v>135.911</v>
      </c>
      <c r="AY1541" s="6"/>
      <c r="AZ1541" s="6"/>
      <c r="BA1541" s="6"/>
      <c r="BB1541" s="6"/>
    </row>
    <row r="1542" spans="32:54">
      <c r="AF1542">
        <f t="shared" si="73"/>
        <v>0</v>
      </c>
      <c r="AG1542" t="str">
        <f t="shared" si="72"/>
        <v/>
      </c>
      <c r="AH1542" t="s">
        <v>5362</v>
      </c>
      <c r="AI1542" t="s">
        <v>5363</v>
      </c>
      <c r="AJ1542" t="s">
        <v>5363</v>
      </c>
      <c r="AL1542" t="s">
        <v>5364</v>
      </c>
      <c r="AX1542" s="6">
        <v>151.911</v>
      </c>
      <c r="AY1542" s="6"/>
      <c r="AZ1542" s="6"/>
      <c r="BA1542" s="6"/>
      <c r="BB1542" s="6"/>
    </row>
    <row r="1543" spans="32:54">
      <c r="AF1543">
        <f t="shared" si="73"/>
        <v>0</v>
      </c>
      <c r="AG1543" t="str">
        <f t="shared" si="72"/>
        <v/>
      </c>
      <c r="AH1543" t="s">
        <v>5365</v>
      </c>
      <c r="AI1543" t="s">
        <v>5366</v>
      </c>
      <c r="AJ1543" t="s">
        <v>5367</v>
      </c>
      <c r="AL1543" t="s">
        <v>5358</v>
      </c>
      <c r="AX1543" s="6">
        <v>437.84</v>
      </c>
      <c r="AY1543" s="6"/>
      <c r="AZ1543" s="6"/>
      <c r="BA1543" s="6"/>
      <c r="BB1543" s="6"/>
    </row>
    <row r="1544" spans="32:54">
      <c r="AF1544">
        <f t="shared" si="73"/>
        <v>0</v>
      </c>
      <c r="AG1544" t="str">
        <f t="shared" si="72"/>
        <v/>
      </c>
      <c r="AH1544" t="s">
        <v>5368</v>
      </c>
      <c r="AI1544" t="s">
        <v>5369</v>
      </c>
      <c r="AJ1544" t="s">
        <v>5370</v>
      </c>
      <c r="AL1544" t="s">
        <v>5371</v>
      </c>
      <c r="AX1544" s="6">
        <v>241.86199999999999</v>
      </c>
      <c r="AY1544" s="6"/>
      <c r="AZ1544" s="6"/>
      <c r="BA1544" s="6"/>
      <c r="BB1544" s="6"/>
    </row>
    <row r="1545" spans="32:54">
      <c r="AF1545">
        <f t="shared" si="73"/>
        <v>0</v>
      </c>
      <c r="AG1545" t="str">
        <f t="shared" si="72"/>
        <v/>
      </c>
      <c r="AH1545" t="s">
        <v>5372</v>
      </c>
      <c r="AI1545" t="s">
        <v>5373</v>
      </c>
      <c r="AJ1545" t="s">
        <v>5374</v>
      </c>
      <c r="AL1545" t="s">
        <v>5375</v>
      </c>
      <c r="AX1545" s="6">
        <v>440.92599999999999</v>
      </c>
      <c r="AY1545" s="6"/>
      <c r="AZ1545" s="6"/>
      <c r="BA1545" s="6"/>
      <c r="BB1545" s="6"/>
    </row>
    <row r="1546" spans="32:54">
      <c r="AF1546">
        <f t="shared" si="73"/>
        <v>0</v>
      </c>
      <c r="AG1546" t="str">
        <f t="shared" si="72"/>
        <v/>
      </c>
      <c r="AH1546" t="s">
        <v>5376</v>
      </c>
      <c r="AI1546" t="s">
        <v>5377</v>
      </c>
      <c r="AJ1546" t="s">
        <v>5378</v>
      </c>
      <c r="AL1546" t="s">
        <v>5379</v>
      </c>
      <c r="AX1546" s="6">
        <v>182.7</v>
      </c>
      <c r="AY1546" s="6"/>
      <c r="AZ1546" s="6"/>
      <c r="BA1546" s="6"/>
      <c r="BB1546" s="6"/>
    </row>
    <row r="1547" spans="32:54">
      <c r="AF1547">
        <f t="shared" si="73"/>
        <v>0</v>
      </c>
      <c r="AG1547" t="str">
        <f t="shared" si="72"/>
        <v/>
      </c>
      <c r="AH1547" t="s">
        <v>5380</v>
      </c>
      <c r="AI1547" t="s">
        <v>5381</v>
      </c>
      <c r="AJ1547" t="s">
        <v>5381</v>
      </c>
      <c r="AL1547" t="s">
        <v>5307</v>
      </c>
      <c r="AX1547" s="6">
        <v>125.551</v>
      </c>
      <c r="AY1547" s="6"/>
      <c r="AZ1547" s="6"/>
      <c r="BA1547" s="6"/>
      <c r="BB1547" s="6"/>
    </row>
    <row r="1548" spans="32:54">
      <c r="AF1548">
        <f t="shared" si="73"/>
        <v>0</v>
      </c>
      <c r="AG1548" t="str">
        <f t="shared" si="72"/>
        <v/>
      </c>
      <c r="AH1548" t="s">
        <v>5382</v>
      </c>
      <c r="AI1548" t="s">
        <v>5383</v>
      </c>
      <c r="AJ1548" t="s">
        <v>5383</v>
      </c>
      <c r="AL1548" t="s">
        <v>5384</v>
      </c>
      <c r="AX1548" s="6">
        <v>285.60899999999998</v>
      </c>
      <c r="AY1548" s="6"/>
      <c r="AZ1548" s="6"/>
      <c r="BA1548" s="6"/>
      <c r="BB1548" s="6"/>
    </row>
    <row r="1549" spans="32:54">
      <c r="AF1549">
        <f t="shared" si="73"/>
        <v>0</v>
      </c>
      <c r="AG1549" t="str">
        <f t="shared" si="72"/>
        <v/>
      </c>
      <c r="AH1549" t="s">
        <v>5385</v>
      </c>
      <c r="AI1549" t="s">
        <v>5386</v>
      </c>
      <c r="AJ1549" t="s">
        <v>5386</v>
      </c>
      <c r="AL1549" t="s">
        <v>5387</v>
      </c>
      <c r="AX1549" s="6">
        <v>317.35500000000002</v>
      </c>
      <c r="AY1549" s="6"/>
      <c r="AZ1549" s="6"/>
      <c r="BA1549" s="6"/>
      <c r="BB1549" s="6"/>
    </row>
    <row r="1550" spans="32:54">
      <c r="AF1550">
        <f t="shared" si="73"/>
        <v>0</v>
      </c>
      <c r="AG1550" t="str">
        <f t="shared" si="72"/>
        <v/>
      </c>
      <c r="AH1550" t="s">
        <v>5388</v>
      </c>
      <c r="AI1550" t="s">
        <v>5389</v>
      </c>
      <c r="AJ1550" t="s">
        <v>5390</v>
      </c>
      <c r="AL1550" t="s">
        <v>5391</v>
      </c>
      <c r="AX1550" s="6">
        <v>320.976</v>
      </c>
      <c r="AY1550" s="6"/>
      <c r="AZ1550" s="6"/>
      <c r="BA1550" s="6"/>
      <c r="BB1550" s="6"/>
    </row>
    <row r="1551" spans="32:54">
      <c r="AF1551">
        <f t="shared" si="73"/>
        <v>0</v>
      </c>
      <c r="AG1551" t="str">
        <f t="shared" si="72"/>
        <v/>
      </c>
      <c r="AH1551" t="s">
        <v>5392</v>
      </c>
      <c r="AI1551" t="s">
        <v>5393</v>
      </c>
      <c r="AJ1551" t="s">
        <v>5394</v>
      </c>
      <c r="AL1551" t="s">
        <v>5395</v>
      </c>
      <c r="AX1551" s="6">
        <v>324.60000000000002</v>
      </c>
      <c r="AY1551" s="6"/>
      <c r="AZ1551" s="6"/>
      <c r="BA1551" s="6"/>
      <c r="BB1551" s="6"/>
    </row>
    <row r="1552" spans="32:54">
      <c r="AF1552">
        <f t="shared" si="73"/>
        <v>0</v>
      </c>
      <c r="AG1552" t="str">
        <f t="shared" si="72"/>
        <v/>
      </c>
      <c r="AH1552" t="s">
        <v>5396</v>
      </c>
      <c r="AI1552" t="s">
        <v>5397</v>
      </c>
      <c r="AJ1552" t="s">
        <v>5398</v>
      </c>
      <c r="AL1552" t="s">
        <v>5399</v>
      </c>
      <c r="AX1552" s="6">
        <v>455.22</v>
      </c>
      <c r="AY1552" s="6"/>
      <c r="AZ1552" s="6"/>
      <c r="BA1552" s="6"/>
      <c r="BB1552" s="6"/>
    </row>
    <row r="1553" spans="32:54">
      <c r="AF1553">
        <f t="shared" si="73"/>
        <v>0</v>
      </c>
      <c r="AG1553" t="str">
        <f t="shared" si="72"/>
        <v/>
      </c>
      <c r="AH1553" t="s">
        <v>5400</v>
      </c>
      <c r="AI1553" t="s">
        <v>5401</v>
      </c>
      <c r="AJ1553" t="s">
        <v>5402</v>
      </c>
      <c r="AL1553" t="s">
        <v>5403</v>
      </c>
      <c r="AX1553" s="6">
        <v>52.076000000000001</v>
      </c>
      <c r="AY1553" s="6"/>
      <c r="AZ1553" s="6"/>
      <c r="BA1553" s="6"/>
      <c r="BB1553" s="6"/>
    </row>
    <row r="1554" spans="32:54">
      <c r="AF1554">
        <f t="shared" si="73"/>
        <v>0</v>
      </c>
      <c r="AG1554" t="str">
        <f t="shared" si="72"/>
        <v/>
      </c>
      <c r="AH1554" t="s">
        <v>5404</v>
      </c>
      <c r="AI1554" t="s">
        <v>5405</v>
      </c>
      <c r="AJ1554" t="s">
        <v>5406</v>
      </c>
      <c r="AL1554" t="s">
        <v>5407</v>
      </c>
      <c r="AX1554" s="6">
        <v>68.143000000000001</v>
      </c>
      <c r="AY1554" s="6"/>
      <c r="AZ1554" s="6"/>
      <c r="BA1554" s="6"/>
      <c r="BB1554" s="6"/>
    </row>
    <row r="1555" spans="32:54">
      <c r="AF1555">
        <f t="shared" si="73"/>
        <v>0</v>
      </c>
      <c r="AG1555" t="str">
        <f t="shared" si="72"/>
        <v/>
      </c>
      <c r="AH1555" t="s">
        <v>5408</v>
      </c>
      <c r="AI1555" t="s">
        <v>5409</v>
      </c>
      <c r="AJ1555" t="s">
        <v>5409</v>
      </c>
      <c r="AL1555" t="s">
        <v>5410</v>
      </c>
      <c r="AX1555" s="6">
        <v>37.036999999999999</v>
      </c>
      <c r="AY1555" s="6"/>
      <c r="AZ1555" s="6"/>
      <c r="BA1555" s="6"/>
      <c r="BB1555" s="6"/>
    </row>
    <row r="1556" spans="32:54">
      <c r="AF1556">
        <f t="shared" si="73"/>
        <v>0</v>
      </c>
      <c r="AG1556" t="str">
        <f t="shared" si="72"/>
        <v/>
      </c>
      <c r="AH1556" t="s">
        <v>5411</v>
      </c>
      <c r="AI1556" t="s">
        <v>5412</v>
      </c>
      <c r="AJ1556" t="s">
        <v>5412</v>
      </c>
      <c r="AL1556" t="s">
        <v>5413</v>
      </c>
      <c r="AX1556" s="6">
        <v>144.94300000000001</v>
      </c>
      <c r="AY1556" s="6"/>
      <c r="AZ1556" s="6"/>
      <c r="BA1556" s="6"/>
      <c r="BB1556" s="6"/>
    </row>
    <row r="1557" spans="32:54">
      <c r="AF1557">
        <f t="shared" si="73"/>
        <v>0</v>
      </c>
      <c r="AG1557" t="str">
        <f t="shared" si="72"/>
        <v/>
      </c>
      <c r="AH1557" t="s">
        <v>5414</v>
      </c>
      <c r="AI1557" t="s">
        <v>5415</v>
      </c>
      <c r="AJ1557" t="s">
        <v>5415</v>
      </c>
      <c r="AK1557" t="s">
        <v>5416</v>
      </c>
      <c r="AL1557" t="s">
        <v>5417</v>
      </c>
      <c r="AX1557" s="6">
        <v>113.92740000000001</v>
      </c>
      <c r="AY1557" s="6"/>
      <c r="AZ1557" s="6"/>
      <c r="BA1557" s="6"/>
      <c r="BB1557" s="6"/>
    </row>
    <row r="1558" spans="32:54">
      <c r="AF1558">
        <f t="shared" si="73"/>
        <v>0</v>
      </c>
      <c r="AG1558" t="str">
        <f t="shared" si="72"/>
        <v/>
      </c>
      <c r="AH1558" t="s">
        <v>5255</v>
      </c>
      <c r="AI1558" t="s">
        <v>5256</v>
      </c>
      <c r="AJ1558" t="s">
        <v>5257</v>
      </c>
      <c r="AL1558" t="s">
        <v>5258</v>
      </c>
      <c r="AX1558" s="6">
        <v>96.085999999999999</v>
      </c>
      <c r="AY1558" s="6"/>
      <c r="AZ1558" s="6"/>
      <c r="BA1558" s="6"/>
      <c r="BB1558" s="6"/>
    </row>
    <row r="1559" spans="32:54">
      <c r="AF1559">
        <f t="shared" si="73"/>
        <v>0</v>
      </c>
      <c r="AG1559" t="str">
        <f t="shared" si="72"/>
        <v/>
      </c>
      <c r="AH1559" t="s">
        <v>5418</v>
      </c>
      <c r="AI1559" t="s">
        <v>5419</v>
      </c>
      <c r="AJ1559" t="s">
        <v>5420</v>
      </c>
      <c r="AL1559" t="s">
        <v>5421</v>
      </c>
      <c r="AX1559" s="6">
        <v>68.122</v>
      </c>
      <c r="AY1559" s="6"/>
      <c r="AZ1559" s="6"/>
      <c r="BA1559" s="6"/>
      <c r="BB1559" s="6"/>
    </row>
    <row r="1560" spans="32:54">
      <c r="AF1560">
        <f t="shared" si="73"/>
        <v>0</v>
      </c>
      <c r="AG1560" t="str">
        <f t="shared" si="72"/>
        <v/>
      </c>
      <c r="AH1560" t="s">
        <v>5422</v>
      </c>
      <c r="AI1560" t="s">
        <v>5423</v>
      </c>
      <c r="AJ1560" t="s">
        <v>5424</v>
      </c>
      <c r="AL1560" t="s">
        <v>5425</v>
      </c>
      <c r="AX1560" s="6">
        <v>149.08699999999999</v>
      </c>
      <c r="AY1560" s="6"/>
      <c r="AZ1560" s="6"/>
      <c r="BA1560" s="6"/>
      <c r="BB1560" s="6"/>
    </row>
    <row r="1561" spans="32:54">
      <c r="AF1561">
        <f t="shared" si="73"/>
        <v>0</v>
      </c>
      <c r="AG1561" t="str">
        <f t="shared" si="72"/>
        <v/>
      </c>
      <c r="AH1561" t="s">
        <v>5426</v>
      </c>
      <c r="AI1561" t="s">
        <v>5427</v>
      </c>
      <c r="AJ1561" t="s">
        <v>5427</v>
      </c>
      <c r="AK1561" t="s">
        <v>5428</v>
      </c>
      <c r="AL1561" t="s">
        <v>5429</v>
      </c>
      <c r="AX1561" s="6">
        <v>149.88800000000001</v>
      </c>
      <c r="AY1561" s="6"/>
      <c r="AZ1561" s="6"/>
      <c r="BA1561" s="6"/>
      <c r="BB1561" s="6"/>
    </row>
    <row r="1562" spans="32:54">
      <c r="AF1562">
        <f t="shared" si="73"/>
        <v>0</v>
      </c>
      <c r="AG1562" t="str">
        <f t="shared" si="72"/>
        <v/>
      </c>
      <c r="AH1562" t="s">
        <v>5430</v>
      </c>
      <c r="AI1562" t="s">
        <v>5431</v>
      </c>
      <c r="AJ1562" t="s">
        <v>5431</v>
      </c>
      <c r="AL1562" t="s">
        <v>5432</v>
      </c>
      <c r="AX1562" s="6">
        <v>439.99400000000003</v>
      </c>
      <c r="AY1562" s="6"/>
      <c r="AZ1562" s="6"/>
      <c r="BA1562" s="6"/>
      <c r="BB1562" s="6"/>
    </row>
    <row r="1563" spans="32:54">
      <c r="AF1563">
        <f t="shared" si="73"/>
        <v>0</v>
      </c>
      <c r="AG1563" t="str">
        <f t="shared" si="72"/>
        <v/>
      </c>
      <c r="AH1563" t="s">
        <v>5433</v>
      </c>
      <c r="AI1563" t="s">
        <v>5434</v>
      </c>
      <c r="AJ1563" t="s">
        <v>5434</v>
      </c>
      <c r="AL1563" t="s">
        <v>5435</v>
      </c>
      <c r="AX1563" s="6">
        <v>217.39099999999999</v>
      </c>
      <c r="AY1563" s="6"/>
      <c r="AZ1563" s="6"/>
      <c r="BA1563" s="6"/>
      <c r="BB1563" s="6"/>
    </row>
    <row r="1564" spans="32:54">
      <c r="AF1564">
        <f t="shared" si="73"/>
        <v>0</v>
      </c>
      <c r="AG1564" t="str">
        <f t="shared" si="72"/>
        <v/>
      </c>
      <c r="AH1564" t="s">
        <v>5436</v>
      </c>
      <c r="AI1564" t="s">
        <v>5437</v>
      </c>
      <c r="AJ1564" t="s">
        <v>5437</v>
      </c>
      <c r="AK1564" t="s">
        <v>4748</v>
      </c>
      <c r="AL1564" t="s">
        <v>5438</v>
      </c>
      <c r="AX1564" s="6">
        <v>41.052999999999997</v>
      </c>
      <c r="AY1564" s="6"/>
      <c r="AZ1564" s="6"/>
      <c r="BA1564" s="6"/>
      <c r="BB1564" s="6"/>
    </row>
    <row r="1565" spans="32:54">
      <c r="AF1565">
        <f t="shared" si="73"/>
        <v>0</v>
      </c>
      <c r="AG1565" t="str">
        <f t="shared" si="72"/>
        <v/>
      </c>
      <c r="AH1565" t="s">
        <v>5439</v>
      </c>
      <c r="AI1565" t="s">
        <v>5440</v>
      </c>
      <c r="AJ1565" t="s">
        <v>5440</v>
      </c>
      <c r="AL1565" t="s">
        <v>5441</v>
      </c>
      <c r="AX1565" s="6">
        <v>223.35400000000001</v>
      </c>
      <c r="AY1565" s="6"/>
      <c r="AZ1565" s="6"/>
      <c r="BA1565" s="6"/>
      <c r="BB1565" s="6"/>
    </row>
    <row r="1566" spans="32:54">
      <c r="AF1566">
        <f t="shared" si="73"/>
        <v>0</v>
      </c>
      <c r="AG1566" t="str">
        <f t="shared" si="72"/>
        <v/>
      </c>
      <c r="AH1566" t="s">
        <v>5442</v>
      </c>
      <c r="AI1566" t="s">
        <v>5443</v>
      </c>
      <c r="AJ1566" t="s">
        <v>5443</v>
      </c>
      <c r="AL1566" t="s">
        <v>5444</v>
      </c>
      <c r="AX1566" s="6">
        <v>101.54300000000001</v>
      </c>
      <c r="AY1566" s="6"/>
      <c r="AZ1566" s="6"/>
      <c r="BA1566" s="6"/>
      <c r="BB1566" s="6"/>
    </row>
    <row r="1567" spans="32:54">
      <c r="AF1567">
        <f t="shared" si="73"/>
        <v>0</v>
      </c>
      <c r="AG1567" t="str">
        <f t="shared" si="72"/>
        <v/>
      </c>
      <c r="AH1567" t="s">
        <v>5445</v>
      </c>
      <c r="AI1567" t="s">
        <v>5446</v>
      </c>
      <c r="AJ1567" t="s">
        <v>5446</v>
      </c>
      <c r="AL1567" t="s">
        <v>5447</v>
      </c>
      <c r="AX1567" s="6">
        <v>309.65600000000001</v>
      </c>
      <c r="AY1567" s="6"/>
      <c r="AZ1567" s="6"/>
      <c r="BA1567" s="6"/>
      <c r="BB1567" s="6"/>
    </row>
    <row r="1568" spans="32:54">
      <c r="AF1568">
        <f t="shared" si="73"/>
        <v>0</v>
      </c>
      <c r="AG1568" t="str">
        <f t="shared" si="72"/>
        <v/>
      </c>
      <c r="AH1568" t="s">
        <v>5448</v>
      </c>
      <c r="AI1568" t="s">
        <v>5449</v>
      </c>
      <c r="AJ1568" t="s">
        <v>5449</v>
      </c>
      <c r="AL1568" t="s">
        <v>5450</v>
      </c>
      <c r="AX1568" s="6">
        <v>436.56</v>
      </c>
      <c r="AY1568" s="6"/>
      <c r="AZ1568" s="6"/>
      <c r="BA1568" s="6"/>
      <c r="BB1568" s="6"/>
    </row>
    <row r="1569" spans="32:54">
      <c r="AF1569">
        <f t="shared" si="73"/>
        <v>0</v>
      </c>
      <c r="AG1569" t="str">
        <f t="shared" si="72"/>
        <v/>
      </c>
      <c r="AH1569" t="s">
        <v>5451</v>
      </c>
      <c r="AI1569" t="s">
        <v>5452</v>
      </c>
      <c r="AJ1569" t="s">
        <v>5452</v>
      </c>
      <c r="AL1569" t="s">
        <v>5453</v>
      </c>
      <c r="AX1569" s="6">
        <v>128.91</v>
      </c>
      <c r="AY1569" s="6"/>
      <c r="AZ1569" s="6"/>
      <c r="BA1569" s="6"/>
      <c r="BB1569" s="6"/>
    </row>
    <row r="1570" spans="32:54">
      <c r="AF1570">
        <f t="shared" si="73"/>
        <v>0</v>
      </c>
      <c r="AG1570" t="str">
        <f t="shared" si="72"/>
        <v/>
      </c>
      <c r="AH1570" t="s">
        <v>5454</v>
      </c>
      <c r="AI1570" t="s">
        <v>5455</v>
      </c>
      <c r="AJ1570" t="s">
        <v>5455</v>
      </c>
      <c r="AL1570" t="s">
        <v>5456</v>
      </c>
      <c r="AX1570" s="6">
        <v>158.261</v>
      </c>
      <c r="AY1570" s="6"/>
      <c r="AZ1570" s="6"/>
      <c r="BA1570" s="6"/>
      <c r="BB1570" s="6"/>
    </row>
    <row r="1571" spans="32:54">
      <c r="AF1571">
        <f t="shared" si="73"/>
        <v>0</v>
      </c>
      <c r="AG1571" t="str">
        <f t="shared" si="72"/>
        <v/>
      </c>
      <c r="AH1571" t="s">
        <v>5457</v>
      </c>
      <c r="AI1571" t="s">
        <v>5458</v>
      </c>
      <c r="AJ1571" t="s">
        <v>5458</v>
      </c>
      <c r="AL1571" t="s">
        <v>5459</v>
      </c>
      <c r="AX1571" s="6">
        <v>196.267</v>
      </c>
      <c r="AY1571" s="6"/>
      <c r="AZ1571" s="6"/>
      <c r="BA1571" s="6"/>
      <c r="BB1571" s="6"/>
    </row>
    <row r="1572" spans="32:54">
      <c r="AF1572">
        <f t="shared" si="73"/>
        <v>0</v>
      </c>
      <c r="AG1572" t="str">
        <f t="shared" si="72"/>
        <v/>
      </c>
      <c r="AH1572" t="s">
        <v>5460</v>
      </c>
      <c r="AI1572" t="s">
        <v>5461</v>
      </c>
      <c r="AJ1572" t="s">
        <v>5461</v>
      </c>
      <c r="AL1572" t="s">
        <v>5462</v>
      </c>
      <c r="AX1572" s="6">
        <v>106.55</v>
      </c>
      <c r="AY1572" s="6"/>
      <c r="AZ1572" s="6"/>
      <c r="BA1572" s="6"/>
      <c r="BB1572" s="6"/>
    </row>
    <row r="1573" spans="32:54">
      <c r="AF1573">
        <f t="shared" si="73"/>
        <v>0</v>
      </c>
      <c r="AG1573" t="str">
        <f t="shared" ref="AG1573:AG1610" si="74">IF(AT1573 &lt;&gt; "",AH1573&amp;" ("&amp;AT1573 &amp;")","")</f>
        <v/>
      </c>
      <c r="AH1573" t="s">
        <v>5463</v>
      </c>
      <c r="AI1573" t="s">
        <v>5464</v>
      </c>
      <c r="AJ1573" t="s">
        <v>5464</v>
      </c>
      <c r="AL1573" t="s">
        <v>5465</v>
      </c>
      <c r="AX1573" s="6">
        <v>45.948</v>
      </c>
      <c r="AY1573" s="6"/>
      <c r="AZ1573" s="6"/>
      <c r="BA1573" s="6"/>
      <c r="BB1573" s="6"/>
    </row>
    <row r="1574" spans="32:54">
      <c r="AF1574">
        <f t="shared" si="73"/>
        <v>0</v>
      </c>
      <c r="AG1574" t="str">
        <f t="shared" si="74"/>
        <v/>
      </c>
      <c r="AH1574" t="s">
        <v>5466</v>
      </c>
      <c r="AI1574" t="s">
        <v>5467</v>
      </c>
      <c r="AJ1574" t="s">
        <v>5468</v>
      </c>
      <c r="AL1574" t="s">
        <v>1771</v>
      </c>
      <c r="AX1574" s="6">
        <v>116.316</v>
      </c>
      <c r="AY1574" s="6"/>
      <c r="AZ1574" s="6"/>
      <c r="BA1574" s="6"/>
      <c r="BB1574" s="6"/>
    </row>
    <row r="1575" spans="32:54">
      <c r="AF1575">
        <f t="shared" si="73"/>
        <v>0</v>
      </c>
      <c r="AG1575" t="str">
        <f t="shared" si="74"/>
        <v/>
      </c>
      <c r="AH1575" t="s">
        <v>5469</v>
      </c>
      <c r="AI1575" t="s">
        <v>5470</v>
      </c>
      <c r="AJ1575" t="s">
        <v>5470</v>
      </c>
      <c r="AL1575" t="s">
        <v>5471</v>
      </c>
      <c r="AX1575" s="6">
        <v>104.369</v>
      </c>
      <c r="AY1575" s="6"/>
      <c r="AZ1575" s="6"/>
      <c r="BA1575" s="6"/>
      <c r="BB1575" s="6"/>
    </row>
    <row r="1576" spans="32:54">
      <c r="AF1576">
        <f t="shared" si="73"/>
        <v>0</v>
      </c>
      <c r="AG1576" t="str">
        <f t="shared" si="74"/>
        <v/>
      </c>
      <c r="AH1576" t="s">
        <v>5472</v>
      </c>
      <c r="AI1576" t="s">
        <v>5473</v>
      </c>
      <c r="AJ1576" t="s">
        <v>5473</v>
      </c>
      <c r="AL1576" t="s">
        <v>5474</v>
      </c>
      <c r="AX1576" s="6">
        <v>147.941</v>
      </c>
      <c r="AY1576" s="6"/>
      <c r="AZ1576" s="6"/>
      <c r="BA1576" s="6"/>
      <c r="BB1576" s="6"/>
    </row>
    <row r="1577" spans="32:54">
      <c r="AF1577">
        <f t="shared" si="73"/>
        <v>0</v>
      </c>
      <c r="AG1577" t="str">
        <f t="shared" si="74"/>
        <v/>
      </c>
      <c r="AH1577" t="s">
        <v>5475</v>
      </c>
      <c r="AI1577" t="s">
        <v>5476</v>
      </c>
      <c r="AJ1577" t="s">
        <v>5476</v>
      </c>
      <c r="AL1577" t="s">
        <v>5477</v>
      </c>
      <c r="AX1577" s="6">
        <v>163.941</v>
      </c>
      <c r="AY1577" s="6"/>
      <c r="AZ1577" s="6"/>
      <c r="BA1577" s="6"/>
      <c r="BB1577" s="6"/>
    </row>
    <row r="1578" spans="32:54">
      <c r="AF1578">
        <f t="shared" si="73"/>
        <v>0</v>
      </c>
      <c r="AG1578" t="str">
        <f t="shared" si="74"/>
        <v/>
      </c>
      <c r="AH1578" t="s">
        <v>5478</v>
      </c>
      <c r="AI1578" t="s">
        <v>5479</v>
      </c>
      <c r="AJ1578" t="s">
        <v>5479</v>
      </c>
      <c r="AK1578" t="s">
        <v>5480</v>
      </c>
      <c r="AL1578" t="s">
        <v>5481</v>
      </c>
      <c r="AX1578" s="6">
        <v>61.04</v>
      </c>
      <c r="AY1578" s="6"/>
      <c r="AZ1578" s="6"/>
      <c r="BA1578" s="6"/>
      <c r="BB1578" s="6"/>
    </row>
    <row r="1579" spans="32:54">
      <c r="AF1579">
        <f t="shared" si="73"/>
        <v>0</v>
      </c>
      <c r="AG1579" t="str">
        <f t="shared" si="74"/>
        <v/>
      </c>
      <c r="AH1579" t="s">
        <v>5482</v>
      </c>
      <c r="AI1579" t="s">
        <v>5483</v>
      </c>
      <c r="AJ1579" t="s">
        <v>5483</v>
      </c>
      <c r="AL1579" t="s">
        <v>5484</v>
      </c>
      <c r="AX1579" s="6">
        <v>97.942999999999998</v>
      </c>
      <c r="AY1579" s="6"/>
      <c r="AZ1579" s="6"/>
      <c r="BA1579" s="6"/>
      <c r="BB1579" s="6"/>
    </row>
    <row r="1580" spans="32:54">
      <c r="AF1580">
        <f t="shared" si="73"/>
        <v>0</v>
      </c>
      <c r="AG1580" t="str">
        <f t="shared" si="74"/>
        <v/>
      </c>
      <c r="AH1580" t="s">
        <v>5485</v>
      </c>
      <c r="AI1580" t="s">
        <v>5486</v>
      </c>
      <c r="AJ1580" t="s">
        <v>5486</v>
      </c>
      <c r="AL1580" t="s">
        <v>5487</v>
      </c>
      <c r="AX1580" s="6">
        <v>224.18299999999999</v>
      </c>
      <c r="AY1580" s="6"/>
      <c r="AZ1580" s="6"/>
      <c r="BA1580" s="6"/>
      <c r="BB1580" s="6"/>
    </row>
    <row r="1581" spans="32:54">
      <c r="AF1581">
        <f t="shared" si="73"/>
        <v>0</v>
      </c>
      <c r="AG1581" t="str">
        <f t="shared" si="74"/>
        <v/>
      </c>
      <c r="AH1581" t="s">
        <v>5488</v>
      </c>
      <c r="AI1581" t="s">
        <v>5489</v>
      </c>
      <c r="AJ1581" t="s">
        <v>5489</v>
      </c>
      <c r="AL1581" t="s">
        <v>5490</v>
      </c>
      <c r="AX1581" s="6">
        <v>258.11799999999999</v>
      </c>
      <c r="AY1581" s="6"/>
      <c r="AZ1581" s="6"/>
      <c r="BA1581" s="6"/>
      <c r="BB1581" s="6"/>
    </row>
    <row r="1582" spans="32:54">
      <c r="AF1582">
        <f t="shared" si="73"/>
        <v>0</v>
      </c>
      <c r="AG1582" t="str">
        <f t="shared" si="74"/>
        <v/>
      </c>
      <c r="AH1582" t="s">
        <v>5491</v>
      </c>
      <c r="AI1582" t="s">
        <v>5492</v>
      </c>
      <c r="AJ1582" t="s">
        <v>5492</v>
      </c>
      <c r="AL1582" t="s">
        <v>5493</v>
      </c>
      <c r="AX1582" s="6">
        <v>59.817</v>
      </c>
      <c r="AY1582" s="6"/>
      <c r="AZ1582" s="6"/>
      <c r="BA1582" s="6"/>
      <c r="BB1582" s="6"/>
    </row>
    <row r="1583" spans="32:54">
      <c r="AF1583">
        <f t="shared" si="73"/>
        <v>0</v>
      </c>
      <c r="AG1583" t="str">
        <f t="shared" si="74"/>
        <v/>
      </c>
      <c r="AH1583" t="s">
        <v>5494</v>
      </c>
      <c r="AI1583" t="s">
        <v>5495</v>
      </c>
      <c r="AJ1583" t="s">
        <v>5495</v>
      </c>
      <c r="AL1583" t="s">
        <v>5496</v>
      </c>
      <c r="AX1583" s="6">
        <v>99.942999999999998</v>
      </c>
      <c r="AY1583" s="6"/>
      <c r="AZ1583" s="6"/>
      <c r="BA1583" s="6"/>
      <c r="BB1583" s="6"/>
    </row>
    <row r="1584" spans="32:54">
      <c r="AF1584">
        <f t="shared" si="73"/>
        <v>0</v>
      </c>
      <c r="AG1584" t="str">
        <f t="shared" si="74"/>
        <v/>
      </c>
      <c r="AH1584" t="s">
        <v>5497</v>
      </c>
      <c r="AI1584" t="s">
        <v>5498</v>
      </c>
      <c r="AJ1584" t="s">
        <v>5498</v>
      </c>
      <c r="AL1584" t="s">
        <v>5499</v>
      </c>
      <c r="AX1584" s="6">
        <v>131.30199999999999</v>
      </c>
      <c r="AY1584" s="6"/>
      <c r="AZ1584" s="6"/>
      <c r="BA1584" s="6"/>
      <c r="BB1584" s="6"/>
    </row>
    <row r="1585" spans="32:54">
      <c r="AF1585">
        <f t="shared" si="73"/>
        <v>0</v>
      </c>
      <c r="AG1585" t="str">
        <f t="shared" si="74"/>
        <v/>
      </c>
      <c r="AH1585" t="s">
        <v>5500</v>
      </c>
      <c r="AI1585" t="s">
        <v>5501</v>
      </c>
      <c r="AJ1585" t="s">
        <v>5501</v>
      </c>
      <c r="AL1585" t="s">
        <v>5502</v>
      </c>
      <c r="AX1585" s="6">
        <v>148.26900000000001</v>
      </c>
      <c r="AY1585" s="6"/>
      <c r="AZ1585" s="6"/>
      <c r="BA1585" s="6"/>
      <c r="BB1585" s="6"/>
    </row>
    <row r="1586" spans="32:54">
      <c r="AF1586">
        <f t="shared" si="73"/>
        <v>0</v>
      </c>
      <c r="AG1586" t="str">
        <f t="shared" si="74"/>
        <v/>
      </c>
      <c r="AH1586" t="s">
        <v>5503</v>
      </c>
      <c r="AI1586" t="s">
        <v>5504</v>
      </c>
      <c r="AJ1586" t="s">
        <v>5504</v>
      </c>
      <c r="AL1586" t="s">
        <v>5505</v>
      </c>
      <c r="AX1586" s="6">
        <v>473.92899999999997</v>
      </c>
      <c r="AY1586" s="6"/>
      <c r="AZ1586" s="6"/>
      <c r="BA1586" s="6"/>
      <c r="BB1586" s="6"/>
    </row>
    <row r="1587" spans="32:54">
      <c r="AF1587">
        <f t="shared" si="73"/>
        <v>0</v>
      </c>
      <c r="AG1587" t="str">
        <f t="shared" si="74"/>
        <v/>
      </c>
      <c r="AH1587" t="s">
        <v>5506</v>
      </c>
      <c r="AI1587" t="s">
        <v>5507</v>
      </c>
      <c r="AJ1587" t="s">
        <v>5507</v>
      </c>
      <c r="AL1587" t="s">
        <v>5508</v>
      </c>
      <c r="AX1587" s="6">
        <v>175.32400000000001</v>
      </c>
      <c r="AY1587" s="6"/>
      <c r="AZ1587" s="6"/>
      <c r="BA1587" s="6"/>
      <c r="BB1587" s="6"/>
    </row>
    <row r="1588" spans="32:54">
      <c r="AF1588">
        <f t="shared" si="73"/>
        <v>0</v>
      </c>
      <c r="AG1588" t="str">
        <f t="shared" si="74"/>
        <v/>
      </c>
      <c r="AH1588" t="s">
        <v>5509</v>
      </c>
      <c r="AI1588" t="s">
        <v>5510</v>
      </c>
      <c r="AJ1588" t="s">
        <v>5510</v>
      </c>
      <c r="AL1588" t="s">
        <v>5511</v>
      </c>
      <c r="AX1588" s="6">
        <v>195.554</v>
      </c>
      <c r="AY1588" s="6"/>
      <c r="AZ1588" s="6"/>
      <c r="BA1588" s="6"/>
      <c r="BB1588" s="6"/>
    </row>
    <row r="1589" spans="32:54">
      <c r="AF1589">
        <f t="shared" si="73"/>
        <v>0</v>
      </c>
      <c r="AG1589" t="str">
        <f t="shared" si="74"/>
        <v/>
      </c>
      <c r="AH1589" t="s">
        <v>5512</v>
      </c>
      <c r="AI1589" t="s">
        <v>5513</v>
      </c>
      <c r="AJ1589" t="s">
        <v>5513</v>
      </c>
      <c r="AL1589" t="s">
        <v>5514</v>
      </c>
      <c r="AX1589" s="6">
        <v>229.489</v>
      </c>
      <c r="AY1589" s="6"/>
      <c r="AZ1589" s="6"/>
      <c r="BA1589" s="6"/>
      <c r="BB1589" s="6"/>
    </row>
    <row r="1590" spans="32:54">
      <c r="AF1590">
        <f t="shared" si="73"/>
        <v>0</v>
      </c>
      <c r="AG1590" t="str">
        <f t="shared" si="74"/>
        <v/>
      </c>
      <c r="AH1590" t="s">
        <v>5515</v>
      </c>
      <c r="AI1590" t="s">
        <v>5516</v>
      </c>
      <c r="AJ1590" t="s">
        <v>5516</v>
      </c>
      <c r="AL1590" t="s">
        <v>5517</v>
      </c>
      <c r="AX1590" s="6">
        <v>112.842</v>
      </c>
      <c r="AY1590" s="6"/>
      <c r="AZ1590" s="6"/>
      <c r="BA1590" s="6"/>
      <c r="BB1590" s="6"/>
    </row>
    <row r="1591" spans="32:54">
      <c r="AF1591">
        <f t="shared" si="73"/>
        <v>0</v>
      </c>
      <c r="AG1591" t="str">
        <f t="shared" si="74"/>
        <v/>
      </c>
      <c r="AH1591" t="s">
        <v>5518</v>
      </c>
      <c r="AI1591" t="s">
        <v>5519</v>
      </c>
      <c r="AJ1591" t="s">
        <v>5519</v>
      </c>
      <c r="AL1591" t="s">
        <v>5520</v>
      </c>
      <c r="AX1591" s="6">
        <v>123.55500000000001</v>
      </c>
      <c r="AY1591" s="6"/>
      <c r="AZ1591" s="6"/>
      <c r="BA1591" s="6"/>
      <c r="BB1591" s="6"/>
    </row>
    <row r="1592" spans="32:54">
      <c r="AF1592">
        <f t="shared" si="73"/>
        <v>0</v>
      </c>
      <c r="AG1592" t="str">
        <f t="shared" si="74"/>
        <v/>
      </c>
      <c r="AH1592" t="s">
        <v>5521</v>
      </c>
      <c r="AI1592" t="s">
        <v>5522</v>
      </c>
      <c r="AJ1592" t="s">
        <v>5522</v>
      </c>
      <c r="AL1592" t="s">
        <v>5523</v>
      </c>
      <c r="AX1592" s="6">
        <v>143.61000000000001</v>
      </c>
      <c r="AY1592" s="6"/>
      <c r="AZ1592" s="6"/>
      <c r="BA1592" s="6"/>
      <c r="BB1592" s="6"/>
    </row>
    <row r="1593" spans="32:54">
      <c r="AF1593">
        <f t="shared" si="73"/>
        <v>0</v>
      </c>
      <c r="AG1593" t="str">
        <f t="shared" si="74"/>
        <v/>
      </c>
      <c r="AH1593" t="s">
        <v>5524</v>
      </c>
      <c r="AI1593" t="s">
        <v>5525</v>
      </c>
      <c r="AJ1593" t="s">
        <v>5525</v>
      </c>
      <c r="AL1593" t="s">
        <v>5526</v>
      </c>
      <c r="AX1593" s="6">
        <v>218.65100000000001</v>
      </c>
      <c r="AY1593" s="6"/>
      <c r="AZ1593" s="6"/>
      <c r="BA1593" s="6"/>
      <c r="BB1593" s="6"/>
    </row>
    <row r="1594" spans="32:54">
      <c r="AF1594">
        <f t="shared" si="73"/>
        <v>0</v>
      </c>
      <c r="AG1594" t="str">
        <f t="shared" si="74"/>
        <v/>
      </c>
      <c r="AH1594" t="s">
        <v>5527</v>
      </c>
      <c r="AI1594" t="s">
        <v>5528</v>
      </c>
      <c r="AJ1594" t="s">
        <v>5528</v>
      </c>
      <c r="AL1594" t="s">
        <v>5529</v>
      </c>
      <c r="AX1594" s="6">
        <v>252.58600000000001</v>
      </c>
      <c r="AY1594" s="6"/>
      <c r="AZ1594" s="6"/>
      <c r="BA1594" s="6"/>
      <c r="BB1594" s="6"/>
    </row>
    <row r="1595" spans="32:54">
      <c r="AF1595">
        <f t="shared" si="73"/>
        <v>0</v>
      </c>
      <c r="AG1595" t="str">
        <f t="shared" si="74"/>
        <v/>
      </c>
      <c r="AH1595" t="s">
        <v>5530</v>
      </c>
      <c r="AI1595" t="s">
        <v>5531</v>
      </c>
      <c r="AJ1595" t="s">
        <v>5532</v>
      </c>
      <c r="AL1595" t="s">
        <v>5533</v>
      </c>
      <c r="AX1595" s="6">
        <v>327.21800000000002</v>
      </c>
      <c r="AY1595" s="6"/>
      <c r="AZ1595" s="6"/>
      <c r="BA1595" s="6"/>
      <c r="BB1595" s="6"/>
    </row>
    <row r="1596" spans="32:54">
      <c r="AF1596">
        <f t="shared" si="73"/>
        <v>0</v>
      </c>
      <c r="AG1596" t="str">
        <f t="shared" si="74"/>
        <v/>
      </c>
      <c r="AH1596" t="s">
        <v>5534</v>
      </c>
      <c r="AI1596" t="s">
        <v>5535</v>
      </c>
      <c r="AJ1596" t="s">
        <v>5535</v>
      </c>
      <c r="AL1596" t="s">
        <v>5536</v>
      </c>
      <c r="AX1596" s="6">
        <v>271.33199999999999</v>
      </c>
      <c r="AY1596" s="6"/>
      <c r="AZ1596" s="6"/>
      <c r="BA1596" s="6"/>
      <c r="BB1596" s="6"/>
    </row>
    <row r="1597" spans="32:54">
      <c r="AF1597">
        <f t="shared" si="73"/>
        <v>0</v>
      </c>
      <c r="AG1597" t="str">
        <f t="shared" si="74"/>
        <v/>
      </c>
      <c r="AH1597" t="s">
        <v>5537</v>
      </c>
      <c r="AI1597" t="s">
        <v>5538</v>
      </c>
      <c r="AJ1597" t="s">
        <v>5538</v>
      </c>
      <c r="AL1597" t="s">
        <v>5539</v>
      </c>
      <c r="AX1597" s="6">
        <v>714.81799999999998</v>
      </c>
      <c r="AY1597" s="6"/>
      <c r="AZ1597" s="6"/>
      <c r="BA1597" s="6"/>
      <c r="BB1597" s="6"/>
    </row>
    <row r="1598" spans="32:54">
      <c r="AF1598">
        <f t="shared" si="73"/>
        <v>0</v>
      </c>
      <c r="AG1598" t="str">
        <f t="shared" si="74"/>
        <v/>
      </c>
      <c r="AH1598" t="s">
        <v>5540</v>
      </c>
      <c r="AI1598" t="s">
        <v>5541</v>
      </c>
      <c r="AJ1598" t="s">
        <v>5541</v>
      </c>
      <c r="AK1598" t="s">
        <v>5542</v>
      </c>
      <c r="AL1598" t="s">
        <v>5543</v>
      </c>
      <c r="AX1598" s="6">
        <v>165.07</v>
      </c>
      <c r="AY1598" s="6"/>
      <c r="AZ1598" s="6"/>
      <c r="BA1598" s="6"/>
      <c r="BB1598" s="6"/>
    </row>
    <row r="1599" spans="32:54">
      <c r="AF1599">
        <f t="shared" si="73"/>
        <v>0</v>
      </c>
      <c r="AG1599" t="str">
        <f t="shared" si="74"/>
        <v/>
      </c>
      <c r="AH1599" t="s">
        <v>5544</v>
      </c>
      <c r="AI1599" t="s">
        <v>5545</v>
      </c>
      <c r="AJ1599" t="s">
        <v>5545</v>
      </c>
      <c r="AK1599" t="s">
        <v>5546</v>
      </c>
      <c r="AL1599" t="s">
        <v>5547</v>
      </c>
      <c r="AX1599" s="6">
        <v>179.1</v>
      </c>
      <c r="AY1599" s="6"/>
      <c r="AZ1599" s="6"/>
      <c r="BA1599" s="6"/>
      <c r="BB1599" s="6"/>
    </row>
    <row r="1600" spans="32:54">
      <c r="AF1600">
        <f t="shared" si="73"/>
        <v>0</v>
      </c>
      <c r="AG1600" t="str">
        <f t="shared" si="74"/>
        <v/>
      </c>
      <c r="AH1600" t="s">
        <v>5548</v>
      </c>
      <c r="AI1600" t="s">
        <v>5549</v>
      </c>
      <c r="AJ1600" t="s">
        <v>5550</v>
      </c>
      <c r="AK1600" t="s">
        <v>5551</v>
      </c>
      <c r="AL1600" t="s">
        <v>5552</v>
      </c>
      <c r="AX1600" s="6"/>
      <c r="AY1600" s="6"/>
      <c r="AZ1600" s="6"/>
      <c r="BA1600" s="6"/>
      <c r="BB1600" s="6"/>
    </row>
    <row r="1601" spans="32:54">
      <c r="AF1601">
        <f t="shared" si="73"/>
        <v>0</v>
      </c>
      <c r="AG1601" t="str">
        <f t="shared" si="74"/>
        <v/>
      </c>
      <c r="AH1601" t="s">
        <v>5553</v>
      </c>
      <c r="AI1601" t="s">
        <v>5554</v>
      </c>
      <c r="AJ1601" t="s">
        <v>5555</v>
      </c>
      <c r="AK1601" t="s">
        <v>5556</v>
      </c>
      <c r="AL1601" t="s">
        <v>5557</v>
      </c>
      <c r="AX1601" s="6">
        <v>141.929</v>
      </c>
      <c r="AY1601" s="6">
        <v>111.7</v>
      </c>
      <c r="AZ1601" s="6">
        <v>245</v>
      </c>
      <c r="BA1601" s="6"/>
      <c r="BB1601" s="6">
        <v>-16.899999999999999</v>
      </c>
    </row>
    <row r="1602" spans="32:54">
      <c r="AF1602">
        <f t="shared" si="73"/>
        <v>0</v>
      </c>
      <c r="AG1602" t="str">
        <f t="shared" si="74"/>
        <v/>
      </c>
      <c r="AH1602" t="s">
        <v>5558</v>
      </c>
      <c r="AI1602" t="s">
        <v>5559</v>
      </c>
      <c r="AJ1602" t="s">
        <v>5560</v>
      </c>
      <c r="AK1602" t="s">
        <v>5561</v>
      </c>
      <c r="AL1602" t="s">
        <v>5562</v>
      </c>
    </row>
    <row r="1603" spans="32:54">
      <c r="AF1603">
        <f t="shared" ref="AF1603:AF1610" si="75">IF(OR(AG1603="",COUNTIF(AG:AG, AG1603) = 1),0, "1")</f>
        <v>0</v>
      </c>
      <c r="AG1603" t="str">
        <f t="shared" si="74"/>
        <v/>
      </c>
      <c r="AH1603" t="s">
        <v>5563</v>
      </c>
      <c r="AI1603" t="s">
        <v>5564</v>
      </c>
      <c r="AJ1603" t="s">
        <v>5564</v>
      </c>
      <c r="AK1603" t="s">
        <v>5565</v>
      </c>
      <c r="AL1603" t="s">
        <v>5566</v>
      </c>
    </row>
    <row r="1604" spans="32:54">
      <c r="AF1604">
        <f t="shared" si="75"/>
        <v>0</v>
      </c>
      <c r="AG1604" t="str">
        <f t="shared" si="74"/>
        <v/>
      </c>
      <c r="AH1604" t="s">
        <v>5567</v>
      </c>
      <c r="AI1604" t="s">
        <v>5568</v>
      </c>
      <c r="AJ1604" t="s">
        <v>5568</v>
      </c>
      <c r="AL1604" t="s">
        <v>5569</v>
      </c>
    </row>
    <row r="1605" spans="32:54">
      <c r="AF1605">
        <f t="shared" si="75"/>
        <v>0</v>
      </c>
      <c r="AG1605" t="str">
        <f t="shared" si="74"/>
        <v/>
      </c>
      <c r="AH1605" t="s">
        <v>5570</v>
      </c>
      <c r="AI1605" t="s">
        <v>5571</v>
      </c>
      <c r="AJ1605" t="s">
        <v>5571</v>
      </c>
      <c r="AK1605" t="s">
        <v>5572</v>
      </c>
      <c r="AL1605" t="s">
        <v>5573</v>
      </c>
      <c r="AX1605">
        <v>88.17</v>
      </c>
    </row>
    <row r="1606" spans="32:54">
      <c r="AF1606">
        <f t="shared" si="75"/>
        <v>0</v>
      </c>
      <c r="AG1606" t="str">
        <f t="shared" si="74"/>
        <v/>
      </c>
      <c r="AH1606" t="s">
        <v>5574</v>
      </c>
      <c r="AI1606" t="s">
        <v>5575</v>
      </c>
      <c r="AJ1606" t="s">
        <v>5576</v>
      </c>
      <c r="AL1606" t="s">
        <v>5577</v>
      </c>
    </row>
    <row r="1607" spans="32:54">
      <c r="AF1607">
        <f t="shared" si="75"/>
        <v>0</v>
      </c>
      <c r="AG1607" t="str">
        <f t="shared" si="74"/>
        <v/>
      </c>
      <c r="AH1607" t="s">
        <v>1911</v>
      </c>
      <c r="AI1607" t="s">
        <v>1912</v>
      </c>
      <c r="AJ1607" t="s">
        <v>1912</v>
      </c>
      <c r="AL1607" t="s">
        <v>5578</v>
      </c>
    </row>
    <row r="1608" spans="32:54">
      <c r="AF1608">
        <f t="shared" si="75"/>
        <v>0</v>
      </c>
      <c r="AG1608" t="str">
        <f t="shared" si="74"/>
        <v/>
      </c>
      <c r="AH1608" t="s">
        <v>5312</v>
      </c>
      <c r="AI1608" t="s">
        <v>5313</v>
      </c>
      <c r="AJ1608" t="s">
        <v>5314</v>
      </c>
      <c r="AL1608" t="s">
        <v>5315</v>
      </c>
    </row>
    <row r="1609" spans="32:54">
      <c r="AF1609">
        <f t="shared" si="75"/>
        <v>0</v>
      </c>
      <c r="AG1609" t="str">
        <f t="shared" si="74"/>
        <v/>
      </c>
      <c r="AH1609" t="s">
        <v>5579</v>
      </c>
      <c r="AI1609" t="s">
        <v>5580</v>
      </c>
      <c r="AJ1609" t="s">
        <v>5581</v>
      </c>
      <c r="AL1609" t="s">
        <v>5582</v>
      </c>
    </row>
    <row r="1610" spans="32:54">
      <c r="AF1610">
        <f t="shared" si="75"/>
        <v>0</v>
      </c>
      <c r="AG1610" t="str">
        <f t="shared" si="74"/>
        <v/>
      </c>
      <c r="AH1610" t="s">
        <v>5583</v>
      </c>
      <c r="AI1610" t="s">
        <v>5584</v>
      </c>
      <c r="AJ1610" t="s">
        <v>5584</v>
      </c>
      <c r="AL1610" t="s">
        <v>5585</v>
      </c>
    </row>
  </sheetData>
  <mergeCells count="52">
    <mergeCell ref="T9:V9"/>
    <mergeCell ref="C8:E8"/>
    <mergeCell ref="F8:H8"/>
    <mergeCell ref="I8:K8"/>
    <mergeCell ref="N8:P8"/>
    <mergeCell ref="Q8:S8"/>
    <mergeCell ref="T8:V8"/>
    <mergeCell ref="C9:E9"/>
    <mergeCell ref="F9:H9"/>
    <mergeCell ref="I9:K9"/>
    <mergeCell ref="N9:P9"/>
    <mergeCell ref="Q9:S9"/>
    <mergeCell ref="T11:V11"/>
    <mergeCell ref="C10:E10"/>
    <mergeCell ref="F10:H10"/>
    <mergeCell ref="I10:K10"/>
    <mergeCell ref="N10:P10"/>
    <mergeCell ref="Q10:S10"/>
    <mergeCell ref="T10:V10"/>
    <mergeCell ref="R17:S17"/>
    <mergeCell ref="C11:E11"/>
    <mergeCell ref="F11:H11"/>
    <mergeCell ref="I11:K11"/>
    <mergeCell ref="N11:P11"/>
    <mergeCell ref="Q11:S11"/>
    <mergeCell ref="F17:G17"/>
    <mergeCell ref="H17:I17"/>
    <mergeCell ref="J17:K17"/>
    <mergeCell ref="N17:O17"/>
    <mergeCell ref="P17:Q17"/>
    <mergeCell ref="N30:P30"/>
    <mergeCell ref="R20:U20"/>
    <mergeCell ref="R21:U21"/>
    <mergeCell ref="N22:P22"/>
    <mergeCell ref="R22:U22"/>
    <mergeCell ref="N23:P23"/>
    <mergeCell ref="N24:P24"/>
    <mergeCell ref="N25:P25"/>
    <mergeCell ref="N26:P26"/>
    <mergeCell ref="N27:P27"/>
    <mergeCell ref="N28:P28"/>
    <mergeCell ref="N29:P29"/>
    <mergeCell ref="C52:D52"/>
    <mergeCell ref="E52:F52"/>
    <mergeCell ref="M52:N52"/>
    <mergeCell ref="O52:P52"/>
    <mergeCell ref="C50:F50"/>
    <mergeCell ref="M50:P50"/>
    <mergeCell ref="C51:D51"/>
    <mergeCell ref="E51:F51"/>
    <mergeCell ref="M51:N51"/>
    <mergeCell ref="O51:P51"/>
  </mergeCells>
  <phoneticPr fontId="26" type="noConversion"/>
  <conditionalFormatting sqref="C15">
    <cfRule type="expression" dxfId="52" priority="8">
      <formula>$C$14&gt;0</formula>
    </cfRule>
  </conditionalFormatting>
  <conditionalFormatting sqref="C17">
    <cfRule type="expression" dxfId="51" priority="38">
      <formula>AND($AX$7,$C$17="")</formula>
    </cfRule>
  </conditionalFormatting>
  <conditionalFormatting sqref="C18">
    <cfRule type="expression" dxfId="50" priority="39">
      <formula>AND($C$18="",$AX$6)</formula>
    </cfRule>
  </conditionalFormatting>
  <conditionalFormatting sqref="C7:E7">
    <cfRule type="expression" dxfId="49" priority="25">
      <formula>$C$7="Ikke i databog"</formula>
    </cfRule>
    <cfRule type="expression" dxfId="48" priority="34">
      <formula>$C$7="FOUND"</formula>
    </cfRule>
  </conditionalFormatting>
  <conditionalFormatting sqref="C8:E8">
    <cfRule type="expression" dxfId="47" priority="7">
      <formula>AND($E$6&lt;&gt;"aq",$E$6&lt;&gt;"g")</formula>
    </cfRule>
  </conditionalFormatting>
  <conditionalFormatting sqref="C9:E11">
    <cfRule type="expression" dxfId="46" priority="21">
      <formula>$C$7="Ikke i databog"</formula>
    </cfRule>
  </conditionalFormatting>
  <conditionalFormatting sqref="F8">
    <cfRule type="expression" dxfId="45" priority="6">
      <formula>AND($H$6&lt;&gt;"aq",$H$6&lt;&gt;"g")</formula>
    </cfRule>
  </conditionalFormatting>
  <conditionalFormatting sqref="F17">
    <cfRule type="expression" dxfId="44" priority="5">
      <formula>AND($K$6&lt;&gt;"aq",$K$6&lt;&gt;"g")</formula>
    </cfRule>
  </conditionalFormatting>
  <conditionalFormatting sqref="F7:H7">
    <cfRule type="expression" dxfId="43" priority="24">
      <formula>$F$7="Ikke i databog"</formula>
    </cfRule>
    <cfRule type="expression" dxfId="42" priority="33">
      <formula>$F$7="FOUND"</formula>
    </cfRule>
  </conditionalFormatting>
  <conditionalFormatting sqref="F9:H11">
    <cfRule type="expression" dxfId="41" priority="22">
      <formula>$F$7="Ikke i databog"</formula>
    </cfRule>
  </conditionalFormatting>
  <conditionalFormatting sqref="H17">
    <cfRule type="expression" dxfId="40" priority="12">
      <formula>AND($H$6&lt;&gt;"aq",$H$6&lt;&gt;"g")</formula>
    </cfRule>
  </conditionalFormatting>
  <conditionalFormatting sqref="I8">
    <cfRule type="expression" dxfId="39" priority="13">
      <formula>AND($K$6&lt;&gt;"aq",$K$6&lt;&gt;"g")</formula>
    </cfRule>
  </conditionalFormatting>
  <conditionalFormatting sqref="I7:K7">
    <cfRule type="expression" dxfId="38" priority="23">
      <formula>$I$7="Ikke i databog"</formula>
    </cfRule>
    <cfRule type="expression" dxfId="37" priority="32">
      <formula>$I$7="FOUND"</formula>
    </cfRule>
  </conditionalFormatting>
  <conditionalFormatting sqref="I9:K11">
    <cfRule type="expression" dxfId="36" priority="20">
      <formula>$I$7="Ikke i databog"</formula>
    </cfRule>
  </conditionalFormatting>
  <conditionalFormatting sqref="J17">
    <cfRule type="expression" dxfId="35" priority="11">
      <formula>AND($E$6&lt;&gt;"aq",$E$6&lt;&gt;"g")</formula>
    </cfRule>
  </conditionalFormatting>
  <conditionalFormatting sqref="N8">
    <cfRule type="expression" dxfId="34" priority="4">
      <formula>AND($P$6&lt;&gt;"aq",$P$6&lt;&gt;"g")</formula>
    </cfRule>
  </conditionalFormatting>
  <conditionalFormatting sqref="N17">
    <cfRule type="expression" dxfId="33" priority="14">
      <formula>AND($P$6&lt;&gt;"aq",$P$6&lt;&gt;"g")</formula>
    </cfRule>
  </conditionalFormatting>
  <conditionalFormatting sqref="N7:P7">
    <cfRule type="expression" dxfId="32" priority="26">
      <formula>$N$7="Ikke i databog"</formula>
    </cfRule>
    <cfRule type="expression" dxfId="31" priority="31">
      <formula>$N$7="FOUND"</formula>
    </cfRule>
  </conditionalFormatting>
  <conditionalFormatting sqref="N9:P11">
    <cfRule type="expression" dxfId="30" priority="19">
      <formula>$N$7="Ikke i databog"</formula>
    </cfRule>
  </conditionalFormatting>
  <conditionalFormatting sqref="P17">
    <cfRule type="expression" dxfId="29" priority="15">
      <formula>AND($S$6&lt;&gt;"aq",$S$6&lt;&gt;"g")</formula>
    </cfRule>
  </conditionalFormatting>
  <conditionalFormatting sqref="Q8">
    <cfRule type="expression" dxfId="28" priority="3">
      <formula>AND($S$6&lt;&gt;"aq",$S$6&lt;&gt;"g")</formula>
    </cfRule>
  </conditionalFormatting>
  <conditionalFormatting sqref="Q7:S7">
    <cfRule type="expression" dxfId="27" priority="27">
      <formula>$Q$7="Ikke i databog"</formula>
    </cfRule>
    <cfRule type="expression" dxfId="26" priority="30">
      <formula>$Q$7="FOUND"</formula>
    </cfRule>
  </conditionalFormatting>
  <conditionalFormatting sqref="Q9:S11">
    <cfRule type="expression" dxfId="25" priority="18">
      <formula>$Q$7="Ikke i databog"</formula>
    </cfRule>
  </conditionalFormatting>
  <conditionalFormatting sqref="R17">
    <cfRule type="expression" dxfId="24" priority="2">
      <formula>AND($V$6&lt;&gt;"aq",$V$6&lt;&gt;"g")</formula>
    </cfRule>
  </conditionalFormatting>
  <conditionalFormatting sqref="T8">
    <cfRule type="expression" dxfId="23" priority="16">
      <formula>AND($V$6&lt;&gt;"aq",$V$6&lt;&gt;"g")</formula>
    </cfRule>
  </conditionalFormatting>
  <conditionalFormatting sqref="T7:V7">
    <cfRule type="expression" dxfId="22" priority="28">
      <formula>$T$7="FOUND"</formula>
    </cfRule>
    <cfRule type="expression" dxfId="21" priority="29">
      <formula>$T$7="Ikke i databog"</formula>
    </cfRule>
  </conditionalFormatting>
  <conditionalFormatting sqref="T9:V11">
    <cfRule type="expression" dxfId="20" priority="17">
      <formula>$T$7="Ikke i databog"</formula>
    </cfRule>
  </conditionalFormatting>
  <conditionalFormatting sqref="AG27">
    <cfRule type="expression" dxfId="19" priority="35">
      <formula>"if($E$6=""ikke i databog"""</formula>
    </cfRule>
  </conditionalFormatting>
  <dataValidations count="2">
    <dataValidation type="custom" allowBlank="1" showInputMessage="1" showErrorMessage="1" sqref="E6 H6 K6 P6 S6 V6" xr:uid="{2090F731-B866-4E92-ADB7-860F697D5607}">
      <formula1>LEN(E6)&lt;=2</formula1>
    </dataValidation>
    <dataValidation type="decimal" allowBlank="1" showInputMessage="1" showErrorMessage="1" sqref="C6 F6 I6 N6 Q6 T6" xr:uid="{CCFD3CFC-EC4F-4084-AD5C-5E585445DF0E}">
      <formula1>0</formula1>
      <formula2>100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947E-A636-4E26-9A73-BEAF7DD97C46}">
  <dimension ref="B1:BP228"/>
  <sheetViews>
    <sheetView zoomScale="70" zoomScaleNormal="70" workbookViewId="0">
      <selection activeCell="D4" sqref="D4"/>
    </sheetView>
  </sheetViews>
  <sheetFormatPr defaultRowHeight="15"/>
  <cols>
    <col min="3" max="3" width="19.140625" customWidth="1"/>
    <col min="4" max="4" width="23.7109375" customWidth="1"/>
    <col min="5" max="5" width="28.7109375" customWidth="1"/>
    <col min="6" max="6" width="10.5703125" customWidth="1"/>
    <col min="9" max="9" width="12.85546875" customWidth="1"/>
    <col min="10" max="10" width="14.140625" customWidth="1"/>
    <col min="11" max="11" width="13.85546875" customWidth="1"/>
    <col min="12" max="12" width="12.5703125" customWidth="1"/>
    <col min="13" max="13" width="9.140625" customWidth="1"/>
    <col min="14" max="14" width="16.140625" customWidth="1"/>
    <col min="15" max="15" width="21.42578125" customWidth="1"/>
    <col min="16" max="16" width="15.85546875" customWidth="1"/>
    <col min="17" max="19" width="16.28515625" customWidth="1"/>
    <col min="20" max="20" width="21" customWidth="1"/>
    <col min="21" max="24" width="16.28515625" customWidth="1"/>
    <col min="25" max="25" width="14.85546875" customWidth="1"/>
    <col min="26" max="26" width="18.140625" customWidth="1"/>
    <col min="27" max="27" width="16.7109375" customWidth="1"/>
    <col min="28" max="28" width="14.85546875" customWidth="1"/>
    <col min="30" max="30" width="15.28515625" customWidth="1"/>
    <col min="31" max="31" width="14.5703125" customWidth="1"/>
    <col min="34" max="35" width="27.140625" customWidth="1"/>
    <col min="36" max="36" width="28.5703125" customWidth="1"/>
    <col min="37" max="37" width="21.5703125" customWidth="1"/>
    <col min="38" max="38" width="34" customWidth="1"/>
    <col min="41" max="41" width="14.5703125" customWidth="1"/>
    <col min="42" max="42" width="18.7109375" customWidth="1"/>
    <col min="43" max="44" width="11.28515625" customWidth="1"/>
  </cols>
  <sheetData>
    <row r="1" spans="2:43" ht="36">
      <c r="B1" s="144" t="s">
        <v>5820</v>
      </c>
      <c r="R1" s="315" t="s">
        <v>5817</v>
      </c>
      <c r="S1" s="315"/>
      <c r="T1" s="315"/>
      <c r="U1" s="315"/>
      <c r="V1" s="315"/>
      <c r="W1" s="315"/>
      <c r="X1" s="315" t="s">
        <v>5818</v>
      </c>
      <c r="Y1" s="315"/>
      <c r="Z1" s="315"/>
      <c r="AA1" s="315"/>
      <c r="AB1" s="315"/>
      <c r="AD1" s="222" t="s">
        <v>5601</v>
      </c>
      <c r="AE1" s="222" t="s">
        <v>5602</v>
      </c>
      <c r="AI1" s="218" t="s">
        <v>5603</v>
      </c>
      <c r="AJ1" s="219" t="s">
        <v>5603</v>
      </c>
      <c r="AK1" s="1" t="s">
        <v>5604</v>
      </c>
      <c r="AL1" s="5" t="s">
        <v>5605</v>
      </c>
      <c r="AO1" t="s">
        <v>20</v>
      </c>
      <c r="AP1" t="s">
        <v>154</v>
      </c>
      <c r="AQ1" t="s">
        <v>5606</v>
      </c>
    </row>
    <row r="2" spans="2:43" ht="32.25" thickBot="1">
      <c r="B2" t="s">
        <v>5814</v>
      </c>
      <c r="I2" t="s">
        <v>5848</v>
      </c>
      <c r="R2" s="119" t="s">
        <v>5808</v>
      </c>
      <c r="S2" s="119" t="s">
        <v>5809</v>
      </c>
      <c r="T2" s="119" t="s">
        <v>5810</v>
      </c>
      <c r="U2" s="119" t="s">
        <v>5815</v>
      </c>
      <c r="V2" s="119" t="s">
        <v>5596</v>
      </c>
      <c r="W2" s="119" t="s">
        <v>5816</v>
      </c>
      <c r="X2" s="217" t="s">
        <v>5819</v>
      </c>
      <c r="Y2" s="217" t="s">
        <v>5810</v>
      </c>
      <c r="Z2" s="217" t="s">
        <v>5815</v>
      </c>
      <c r="AA2" s="217" t="s">
        <v>5816</v>
      </c>
      <c r="AB2" s="217" t="s">
        <v>5596</v>
      </c>
      <c r="AD2" s="149" t="e">
        <f>MIN(N4:N16)</f>
        <v>#VALUE!</v>
      </c>
      <c r="AE2" s="223" t="e">
        <f t="shared" ref="AE2:AE14" si="0">IF(N4=$AD$2,I4,"")</f>
        <v>#VALUE!</v>
      </c>
      <c r="AG2" s="222">
        <v>0</v>
      </c>
      <c r="AH2" s="253" t="s">
        <v>5607</v>
      </c>
      <c r="AI2" s="252" t="e">
        <f>SUBSTITUTE(SUBSTITUTE(SUBSTITUTE(SUBSTITUTE(SUBSTITUTE(SUBSTITUTE(SUBSTITUTE(SUBSTITUTE(SUBSTITUTE(SUBSTITUTE(AI3,$AG$11,$AH$11),$AG$2,$AH$2),$AG$3,$AH$3),$AG$4,$AH$4),$AG$5,$AH$5),AG6,AH6),AG7,AH7),AG8,AH8),AG9,AH9),AG10,AH10)</f>
        <v>#VALUE!</v>
      </c>
      <c r="AJ2" s="220" t="e">
        <f>SUBSTITUTE(SUBSTITUTE(SUBSTITUTE(SUBSTITUTE(SUBSTITUTE(SUBSTITUTE(SUBSTITUTE(SUBSTITUTE(SUBSTITUTE(SUBSTITUTE(AJ3,$AG$11,$AH$11),$AG$2,$AH$2),$AG$3,$AH$3),$AG$4,$AH$4),$AG$5,$AH$5),AG6,AH6),AG7,AH7),AG8,AH8),AG9,AH9),AG10,AH10)</f>
        <v>#VALUE!</v>
      </c>
      <c r="AK2" s="7" t="str">
        <f>IFERROR(ROUND(E19/AK19,0),"Mangler oplysning")</f>
        <v>Mangler oplysning</v>
      </c>
      <c r="AL2" s="9" t="e">
        <f>SUBSTITUTE(SUBSTITUTE(SUBSTITUTE(SUBSTITUTE(SUBSTITUTE(SUBSTITUTE(SUBSTITUTE(SUBSTITUTE(SUBSTITUTE(SUBSTITUTE(AL3,$AG$11,$AH$11),$AG$2,$AH$2),$AG$3,$AH$3),$AG$4,$AH$4),$AG$5,$AH$5),AG6,AH6),AG7,AH7),AG8,AH8),AG9,AH9),AG10,AH10)</f>
        <v>#VALUE!</v>
      </c>
      <c r="AO2" t="s">
        <v>158</v>
      </c>
      <c r="AP2" s="6">
        <v>26.98</v>
      </c>
      <c r="AQ2" t="s">
        <v>5608</v>
      </c>
    </row>
    <row r="3" spans="2:43" ht="15.75" thickBot="1">
      <c r="C3" s="150" t="s">
        <v>5609</v>
      </c>
      <c r="D3" s="151" t="s">
        <v>5610</v>
      </c>
      <c r="E3" s="152" t="s">
        <v>5606</v>
      </c>
      <c r="I3" s="145" t="s">
        <v>5586</v>
      </c>
      <c r="J3" s="145" t="s">
        <v>5587</v>
      </c>
      <c r="K3" s="145" t="s">
        <v>5588</v>
      </c>
      <c r="L3" s="145" t="s">
        <v>5589</v>
      </c>
      <c r="M3" s="145" t="s">
        <v>5600</v>
      </c>
      <c r="N3" s="145" t="s">
        <v>5590</v>
      </c>
      <c r="O3" s="145" t="s">
        <v>5591</v>
      </c>
      <c r="P3" s="145" t="s">
        <v>5592</v>
      </c>
      <c r="Q3" s="145" t="s">
        <v>5593</v>
      </c>
      <c r="R3" s="145"/>
      <c r="S3" s="145"/>
      <c r="T3" s="145" t="s">
        <v>5597</v>
      </c>
      <c r="U3" s="145" t="s">
        <v>5594</v>
      </c>
      <c r="V3" s="145" t="s">
        <v>5596</v>
      </c>
      <c r="W3" s="145"/>
      <c r="X3" s="145"/>
      <c r="Y3" s="145" t="s">
        <v>5597</v>
      </c>
      <c r="Z3" s="145" t="s">
        <v>5594</v>
      </c>
      <c r="AA3" s="145" t="s">
        <v>5595</v>
      </c>
      <c r="AB3" s="145" t="s">
        <v>5596</v>
      </c>
      <c r="AE3" s="222" t="e">
        <f t="shared" si="0"/>
        <v>#VALUE!</v>
      </c>
      <c r="AG3" s="222">
        <v>1</v>
      </c>
      <c r="AH3" s="253" t="s">
        <v>5611</v>
      </c>
      <c r="AI3" s="254" t="e">
        <f>_xlfn.CONCAT(V4:V16)</f>
        <v>#VALUE!</v>
      </c>
      <c r="AJ3" s="221" t="e">
        <f>_xlfn.CONCAT(AB4:AB16)</f>
        <v>#VALUE!</v>
      </c>
      <c r="AK3" s="71" t="e">
        <f>IF(ROUND(E19/AK19,0)=0,1,ROUND(E19/AK19,0))</f>
        <v>#VALUE!</v>
      </c>
      <c r="AL3" s="74" t="e">
        <f>_xlfn.CONCAT(AL6:AL18)</f>
        <v>#VALUE!</v>
      </c>
      <c r="AO3" t="s">
        <v>229</v>
      </c>
      <c r="AP3" s="6">
        <v>121.76</v>
      </c>
      <c r="AQ3" t="s">
        <v>230</v>
      </c>
    </row>
    <row r="4" spans="2:43" ht="23.25">
      <c r="C4" s="153"/>
      <c r="D4" s="154"/>
      <c r="E4" s="155" t="str">
        <f>IF(C4="","",IF(J4,INDEX($AQ$2:$AQ$56,MATCH(C4,$AO$2:$AO$56,0)),"NOT FOUND"))</f>
        <v/>
      </c>
      <c r="I4" s="107" t="e">
        <f>IF(M4,INDEX($AO$2:$AO$56,MATCH(C4,$AO$2:$AO$56,0)),"")</f>
        <v>#VALUE!</v>
      </c>
      <c r="J4" s="107" t="str">
        <f>IF(C4="","",IFERROR(MATCH(C4,$AO$2:$AO$56,0)&gt;0,FALSE))</f>
        <v/>
      </c>
      <c r="K4" s="107" t="e">
        <f>IF(M4,D4,"")</f>
        <v>#VALUE!</v>
      </c>
      <c r="L4" s="107" t="e">
        <f>IF(M4,INDEX($AP$2:$AP$56,MATCH(C4,$AO$2:$AO$56,0)),"")</f>
        <v>#VALUE!</v>
      </c>
      <c r="M4" s="107" t="str">
        <f>IFERROR(AND(MATCH(C4,$AO$2:$AO$56,0)&gt;0,D4&gt;0),"")</f>
        <v/>
      </c>
      <c r="N4" s="107" t="e">
        <f t="shared" ref="N4:N16" si="1">IF(M4,K4/L4,"")</f>
        <v>#VALUE!</v>
      </c>
      <c r="O4" s="107" t="e">
        <f t="shared" ref="O4:O16" si="2">IF(M4,IF(N4=0,"","n("&amp;I4&amp;")/n("&amp;_xlfn.CONCAT($AE$2:$AE$14)&amp;")"),"")</f>
        <v>#VALUE!</v>
      </c>
      <c r="P4" s="147" t="e">
        <f t="shared" ref="P4:P14" si="3">IF(M4,N4/$AD$2,"")</f>
        <v>#VALUE!</v>
      </c>
      <c r="Q4" s="107" t="e">
        <f t="shared" ref="Q4:Q16" si="4">IF(M4,IF(MOD(ROUND(ROUND(P4,0)/P4,2),1)=0,TRUE,FALSE),"")</f>
        <v>#VALUE!</v>
      </c>
      <c r="R4" s="107" t="e">
        <f t="shared" ref="R4:R16" si="5">IF(M4,IF(NOT(Q4),ROUND(1/MOD(P4,1),3)*10,P4),"")</f>
        <v>#VALUE!</v>
      </c>
      <c r="S4" s="107" t="e" cm="1">
        <f t="array" aca="1" ref="S4" ca="1">IF(M4,IF(NOT(Q4),MAX(IF(ROW(INDIRECT("1:"&amp;ROUND((R4*(1+0.005))/2,0)))&lt;=ROUND((R4*(1+0.005))/2,0),IF(MOD(ROUND(R4*(1+0.005),0)/ROW(INDIRECT("1:"&amp;ROUND((R4*(1+0.005))/2,0))),1)=0,ROW(INDIRECT("1:"&amp;ROUND((R4*(1+0.005))/2,0)))))),P4),"")</f>
        <v>#VALUE!</v>
      </c>
      <c r="T4" s="107" t="e">
        <f t="shared" ref="T4:T16" si="6">IF(M4,ROUND(R4/S4,0),"")</f>
        <v>#VALUE!</v>
      </c>
      <c r="U4" s="107" t="e">
        <f t="shared" ref="U4:U16" si="7">IF(M4,IF(M4,ROUND(P4*MIN($P$4:$P$16)*MAX($T$4:$T$17),0),""),"")</f>
        <v>#VALUE!</v>
      </c>
      <c r="V4" s="107" t="e">
        <f t="shared" ref="V4:V16" si="8">IF(M4,IF(M4,I4&amp;IF(AND(Q4,U4=1),"",U4),""),"")</f>
        <v>#VALUE!</v>
      </c>
      <c r="W4" s="148" t="e">
        <f t="shared" ref="W4:W16" si="9">IF(M4,IFERROR(ABS(U4/MAX($T$4:$T$17)-P4)/P4,""),"")</f>
        <v>#VALUE!</v>
      </c>
      <c r="X4" s="10" t="str">
        <f>IF(ISNUMBER(P4),MOD(P4,1),"")</f>
        <v/>
      </c>
      <c r="Y4" s="107" cm="1">
        <f t="array" ref="Y4">_xlfn.IFS(
    OR(X4&gt;0.99,X4&lt;0.01), 1,
    AND(X4&gt;0.19,X4&lt;0.21), 5,
    AND(X4&gt;0.32,X4&lt;0.34), 3,
    AND(X4&gt;0.49,X4&lt;0.51), 2,
    AND(X4&gt;0.65,X4&lt;0.68), 3,
    AND(X4&gt;0.74,X4&lt;0.75), 4,
    TRUE, 0
)</f>
        <v>1</v>
      </c>
      <c r="Z4" s="107" t="e">
        <f t="shared" ref="Z4:Z16" si="10">IF(M4,ROUND(P4*MIN($P$4:$P$16)*MAX($Y$4:$Y$17),0),"")</f>
        <v>#VALUE!</v>
      </c>
      <c r="AA4" s="148" t="str">
        <f t="shared" ref="AA4:AA16" si="11">IFERROR(ABS(Z4/MAX($Y$4:$Y$17)-P4)/P4,"")</f>
        <v/>
      </c>
      <c r="AB4" s="107" t="e">
        <f t="shared" ref="AB4:AB16" si="12">IF(M4,I4&amp;IF(AND(Q4,Z4=1),"",Z4),"")</f>
        <v>#VALUE!</v>
      </c>
      <c r="AE4" s="222" t="e">
        <f t="shared" si="0"/>
        <v>#VALUE!</v>
      </c>
      <c r="AG4" s="222">
        <v>2</v>
      </c>
      <c r="AH4" s="222" t="s">
        <v>87</v>
      </c>
      <c r="AO4" t="s">
        <v>268</v>
      </c>
      <c r="AP4" s="6">
        <v>39.950000000000003</v>
      </c>
      <c r="AQ4" t="s">
        <v>269</v>
      </c>
    </row>
    <row r="5" spans="2:43" ht="23.25">
      <c r="C5" s="153"/>
      <c r="D5" s="154"/>
      <c r="E5" s="155" t="str">
        <f>IF(C5="","",IF(J5,INDEX($AQ$2:$AQ$56,MATCH(C5,$AO$2:$AO$56,0)),"NOT FOUND"))</f>
        <v/>
      </c>
      <c r="I5" s="107" t="str">
        <f>IF(M5,INDEX($AO$2:$AO$56,MATCH(C5,$AO$2:$AO$56,0)),"")</f>
        <v/>
      </c>
      <c r="J5" s="107" t="str">
        <f>IF(C5="","",IFERROR(MATCH(C5,$AO$2:$AO$56,0)&gt;0,FALSE))</f>
        <v/>
      </c>
      <c r="K5" s="107" t="str">
        <f>IF(M5,D5,"")</f>
        <v/>
      </c>
      <c r="L5" s="107" t="str">
        <f>IF(M5,INDEX($AP$2:$AP$56,MATCH(C5,$AO$2:$AO$56,0)),"")</f>
        <v/>
      </c>
      <c r="M5" s="107" t="b">
        <f>IFERROR(AND(MATCH(C5,$AO$2:$AO$56,0)&gt;0,D5&gt;0),FALSE)</f>
        <v>0</v>
      </c>
      <c r="N5" s="107" t="str">
        <f t="shared" si="1"/>
        <v/>
      </c>
      <c r="O5" s="107" t="str">
        <f t="shared" si="2"/>
        <v/>
      </c>
      <c r="P5" s="147" t="str">
        <f t="shared" si="3"/>
        <v/>
      </c>
      <c r="Q5" s="107" t="str">
        <f t="shared" si="4"/>
        <v/>
      </c>
      <c r="R5" s="107" t="str">
        <f t="shared" si="5"/>
        <v/>
      </c>
      <c r="S5" s="107" t="str" cm="1">
        <f t="array" aca="1" ref="S5" ca="1">IF(M5,IF(NOT(Q5),MAX(IF(ROW(INDIRECT("1:"&amp;ROUND((R5*(1+0.005))/2,0)))&lt;=ROUND((R5*(1+0.005))/2,0),IF(MOD(ROUND(R5*(1+0.005),0)/ROW(INDIRECT("1:"&amp;ROUND((R5*(1+0.005))/2,0))),1)=0,ROW(INDIRECT("1:"&amp;ROUND((R5*(1+0.005))/2,0)))))),P5),"")</f>
        <v/>
      </c>
      <c r="T5" s="107" t="str">
        <f t="shared" si="6"/>
        <v/>
      </c>
      <c r="U5" s="107" t="str">
        <f t="shared" si="7"/>
        <v/>
      </c>
      <c r="V5" s="107" t="str">
        <f t="shared" si="8"/>
        <v/>
      </c>
      <c r="W5" s="148" t="str">
        <f t="shared" si="9"/>
        <v/>
      </c>
      <c r="X5" s="10" t="str">
        <f t="shared" ref="X5:X16" si="13">IF(ISNUMBER(P5),MOD(P5,1),"")</f>
        <v/>
      </c>
      <c r="Y5" s="107" cm="1">
        <f t="array" ref="Y5">_xlfn.IFS(
    OR(X5&gt;0.99,X5&lt;0.01), 1,
    AND(X5&gt;0.19,X5&lt;0.21), 5,
    AND(X5&gt;0.32,X5&lt;0.34), 3,
    AND(X5&gt;0.49,X5&lt;0.51), 2,
    AND(X5&gt;0.65,X5&lt;0.68), 3,
    AND(X5&gt;0.74,X5&lt;0.75), 4,
    TRUE, 0
)</f>
        <v>1</v>
      </c>
      <c r="Z5" s="107" t="str">
        <f t="shared" si="10"/>
        <v/>
      </c>
      <c r="AA5" s="148" t="str">
        <f t="shared" si="11"/>
        <v/>
      </c>
      <c r="AB5" s="107" t="str">
        <f t="shared" si="12"/>
        <v/>
      </c>
      <c r="AE5" s="222" t="e">
        <f t="shared" si="0"/>
        <v>#VALUE!</v>
      </c>
      <c r="AG5" s="222">
        <v>3</v>
      </c>
      <c r="AH5" s="222" t="s">
        <v>90</v>
      </c>
      <c r="AK5" s="108" t="s">
        <v>5598</v>
      </c>
      <c r="AL5" s="108" t="s">
        <v>5599</v>
      </c>
      <c r="AO5" t="s">
        <v>270</v>
      </c>
      <c r="AP5" s="6">
        <v>74.92</v>
      </c>
      <c r="AQ5" t="s">
        <v>271</v>
      </c>
    </row>
    <row r="6" spans="2:43" ht="23.25">
      <c r="C6" s="153"/>
      <c r="D6" s="154"/>
      <c r="E6" s="155" t="str">
        <f t="shared" ref="E6:E16" si="14">IF(C6="","",IF(J6,INDEX($AQ$2:$AQ$56,MATCH(C6,$AO$2:$AO$56,0)),"NOT FOUND"))</f>
        <v/>
      </c>
      <c r="I6" s="107" t="str">
        <f t="shared" ref="I6:I16" si="15">IF(M6,INDEX($AO$2:$AO$56,MATCH(C6,$AO$2:$AO$56,0)),"")</f>
        <v/>
      </c>
      <c r="J6" s="107" t="str">
        <f t="shared" ref="J6:J16" si="16">IF(C6="","",IFERROR(MATCH(C6,$AO$2:$AO$56,0)&gt;0,FALSE))</f>
        <v/>
      </c>
      <c r="K6" s="107" t="str">
        <f t="shared" ref="K6:K16" si="17">IF(M6,D6,"")</f>
        <v/>
      </c>
      <c r="L6" s="107" t="str">
        <f t="shared" ref="L6:L16" si="18">IF(M6,INDEX($AP$2:$AP$56,MATCH(C6,$AO$2:$AO$56,0)),"")</f>
        <v/>
      </c>
      <c r="M6" s="107" t="b">
        <f t="shared" ref="M6:M16" si="19">IFERROR(AND(MATCH(C6,$AO$2:$AO$56,0)&gt;0,D6&gt;0),FALSE)</f>
        <v>0</v>
      </c>
      <c r="N6" s="107" t="str">
        <f t="shared" si="1"/>
        <v/>
      </c>
      <c r="O6" s="107" t="str">
        <f t="shared" si="2"/>
        <v/>
      </c>
      <c r="P6" s="147" t="str">
        <f t="shared" si="3"/>
        <v/>
      </c>
      <c r="Q6" s="107" t="str">
        <f t="shared" si="4"/>
        <v/>
      </c>
      <c r="R6" s="107" t="str">
        <f t="shared" si="5"/>
        <v/>
      </c>
      <c r="S6" s="107" t="str" cm="1">
        <f t="array" aca="1" ref="S6" ca="1">IF(M6,IF(NOT(Q6),MAX(IF(ROW(INDIRECT("1:"&amp;ROUND((R6*(1+0.005))/2,0)))&lt;=ROUND((R6*(1+0.005))/2,0),IF(MOD(ROUND(R6*(1+0.005),0)/ROW(INDIRECT("1:"&amp;ROUND((R6*(1+0.005))/2,0))),1)=0,ROW(INDIRECT("1:"&amp;ROUND((R6*(1+0.005))/2,0)))))),P6),"")</f>
        <v/>
      </c>
      <c r="T6" s="107" t="str">
        <f t="shared" si="6"/>
        <v/>
      </c>
      <c r="U6" s="107" t="str">
        <f t="shared" si="7"/>
        <v/>
      </c>
      <c r="V6" s="107" t="str">
        <f t="shared" si="8"/>
        <v/>
      </c>
      <c r="W6" s="148" t="str">
        <f t="shared" si="9"/>
        <v/>
      </c>
      <c r="X6" s="10" t="str">
        <f t="shared" si="13"/>
        <v/>
      </c>
      <c r="Y6" s="107" cm="1">
        <f t="array" ref="Y6">_xlfn.IFS(
    OR(X6&gt;0.99,X6&lt;0.01), 1,
    AND(X6&gt;0.19,X6&lt;0.21), 5,
    AND(X6&gt;0.32,X6&lt;0.34), 3,
    AND(X6&gt;0.49,X6&lt;0.51), 2,
    AND(X6&gt;0.65,X6&lt;0.68), 3,
    AND(X6&gt;0.74,X6&lt;0.75), 4,
    TRUE, 0
)</f>
        <v>1</v>
      </c>
      <c r="Z6" s="107" t="str">
        <f t="shared" si="10"/>
        <v/>
      </c>
      <c r="AA6" s="148" t="str">
        <f t="shared" si="11"/>
        <v/>
      </c>
      <c r="AB6" s="107" t="str">
        <f t="shared" si="12"/>
        <v/>
      </c>
      <c r="AE6" s="222" t="e">
        <f t="shared" si="0"/>
        <v>#VALUE!</v>
      </c>
      <c r="AG6" s="222">
        <v>4</v>
      </c>
      <c r="AH6" s="222" t="s">
        <v>94</v>
      </c>
      <c r="AK6" s="108" t="e">
        <f t="shared" ref="AK6:AK18" si="20">IF(M4,Z4*L4,"")</f>
        <v>#VALUE!</v>
      </c>
      <c r="AL6" s="108" t="e">
        <f t="shared" ref="AL6:AL12" si="21">IF(M4,I4&amp;IF(AND(Q4,ROUND(Z4*$AK$3,0)=1),"",ROUND(Z4*$AK$3,0)),"")</f>
        <v>#VALUE!</v>
      </c>
      <c r="AO6" t="s">
        <v>310</v>
      </c>
      <c r="AP6" s="6">
        <v>137.33000000000001</v>
      </c>
      <c r="AQ6" t="s">
        <v>311</v>
      </c>
    </row>
    <row r="7" spans="2:43" ht="23.25">
      <c r="C7" s="153"/>
      <c r="D7" s="154"/>
      <c r="E7" s="155" t="str">
        <f>IF(C7="","",IF(J7,INDEX($AQ$2:$AQ$56,MATCH(C7,$AO$2:$AO$56,0)),"NOT FOUND"))</f>
        <v/>
      </c>
      <c r="I7" s="107" t="str">
        <f>IF(M7,INDEX($AO$2:$AO$56,MATCH(C7,$AO$2:$AO$56,0)),"")</f>
        <v/>
      </c>
      <c r="J7" s="107" t="str">
        <f>IF(C7="","",IFERROR(MATCH(C7,$AO$2:$AO$56,0)&gt;0,FALSE))</f>
        <v/>
      </c>
      <c r="K7" s="107" t="str">
        <f>IF(M7,D7,"")</f>
        <v/>
      </c>
      <c r="L7" s="107" t="str">
        <f>IF(M7,INDEX($AP$2:$AP$56,MATCH(C7,$AO$2:$AO$56,0)),"")</f>
        <v/>
      </c>
      <c r="M7" s="107" t="b">
        <f>IFERROR(AND(MATCH(C7,$AO$2:$AO$56,0)&gt;0,D7&gt;0),FALSE)</f>
        <v>0</v>
      </c>
      <c r="N7" s="107" t="str">
        <f t="shared" si="1"/>
        <v/>
      </c>
      <c r="O7" s="107" t="str">
        <f t="shared" si="2"/>
        <v/>
      </c>
      <c r="P7" s="147" t="str">
        <f t="shared" si="3"/>
        <v/>
      </c>
      <c r="Q7" s="107" t="str">
        <f t="shared" si="4"/>
        <v/>
      </c>
      <c r="R7" s="107" t="str">
        <f t="shared" si="5"/>
        <v/>
      </c>
      <c r="S7" s="107" t="str" cm="1">
        <f t="array" aca="1" ref="S7" ca="1">IF(M7,IF(NOT(Q7),MAX(IF(ROW(INDIRECT("1:"&amp;ROUND((R7*(1+0.005))/2,0)))&lt;=ROUND((R7*(1+0.005))/2,0),IF(MOD(ROUND(R7*(1+0.005),0)/ROW(INDIRECT("1:"&amp;ROUND((R7*(1+0.005))/2,0))),1)=0,ROW(INDIRECT("1:"&amp;ROUND((R7*(1+0.005))/2,0)))))),P7),"")</f>
        <v/>
      </c>
      <c r="T7" s="107" t="str">
        <f t="shared" si="6"/>
        <v/>
      </c>
      <c r="U7" s="107" t="str">
        <f t="shared" si="7"/>
        <v/>
      </c>
      <c r="V7" s="107" t="str">
        <f t="shared" si="8"/>
        <v/>
      </c>
      <c r="W7" s="148" t="str">
        <f t="shared" si="9"/>
        <v/>
      </c>
      <c r="X7" s="10" t="str">
        <f t="shared" si="13"/>
        <v/>
      </c>
      <c r="Y7" s="107" cm="1">
        <f t="array" ref="Y7">_xlfn.IFS(
    OR(X7&gt;0.99,X7&lt;0.01), 1,
    AND(X7&gt;0.19,X7&lt;0.21), 5,
    AND(X7&gt;0.32,X7&lt;0.34), 3,
    AND(X7&gt;0.49,X7&lt;0.51), 2,
    AND(X7&gt;0.65,X7&lt;0.68), 3,
    AND(X7&gt;0.74,X7&lt;0.75), 4,
    TRUE, 0
)</f>
        <v>1</v>
      </c>
      <c r="Z7" s="107" t="str">
        <f t="shared" si="10"/>
        <v/>
      </c>
      <c r="AA7" s="148" t="str">
        <f t="shared" si="11"/>
        <v/>
      </c>
      <c r="AB7" s="107" t="str">
        <f t="shared" si="12"/>
        <v/>
      </c>
      <c r="AE7" s="222" t="e">
        <f t="shared" si="0"/>
        <v>#VALUE!</v>
      </c>
      <c r="AG7" s="222">
        <v>5</v>
      </c>
      <c r="AH7" s="222" t="s">
        <v>99</v>
      </c>
      <c r="AK7" s="108" t="str">
        <f t="shared" si="20"/>
        <v/>
      </c>
      <c r="AL7" s="108" t="str">
        <f t="shared" si="21"/>
        <v/>
      </c>
      <c r="AO7" t="s">
        <v>370</v>
      </c>
      <c r="AP7" s="6">
        <v>9.01</v>
      </c>
      <c r="AQ7" t="s">
        <v>371</v>
      </c>
    </row>
    <row r="8" spans="2:43" ht="23.25">
      <c r="C8" s="153"/>
      <c r="D8" s="154"/>
      <c r="E8" s="155" t="str">
        <f t="shared" si="14"/>
        <v/>
      </c>
      <c r="I8" s="107" t="str">
        <f t="shared" si="15"/>
        <v/>
      </c>
      <c r="J8" s="107" t="str">
        <f t="shared" si="16"/>
        <v/>
      </c>
      <c r="K8" s="107" t="str">
        <f t="shared" si="17"/>
        <v/>
      </c>
      <c r="L8" s="107" t="str">
        <f t="shared" si="18"/>
        <v/>
      </c>
      <c r="M8" s="107" t="b">
        <f t="shared" si="19"/>
        <v>0</v>
      </c>
      <c r="N8" s="107" t="str">
        <f t="shared" si="1"/>
        <v/>
      </c>
      <c r="O8" s="107" t="str">
        <f t="shared" si="2"/>
        <v/>
      </c>
      <c r="P8" s="147" t="str">
        <f t="shared" si="3"/>
        <v/>
      </c>
      <c r="Q8" s="107" t="str">
        <f t="shared" si="4"/>
        <v/>
      </c>
      <c r="R8" s="107" t="str">
        <f t="shared" si="5"/>
        <v/>
      </c>
      <c r="S8" s="107" t="str" cm="1">
        <f t="array" aca="1" ref="S8" ca="1">IF(M8,IF(NOT(Q8),MAX(IF(ROW(INDIRECT("1:"&amp;ROUND((R8*(1+0.005))/2,0)))&lt;=ROUND((R8*(1+0.005))/2,0),IF(MOD(ROUND(R8*(1+0.005),0)/ROW(INDIRECT("1:"&amp;ROUND((R8*(1+0.005))/2,0))),1)=0,ROW(INDIRECT("1:"&amp;ROUND((R8*(1+0.005))/2,0)))))),P8),"")</f>
        <v/>
      </c>
      <c r="T8" s="107" t="str">
        <f t="shared" si="6"/>
        <v/>
      </c>
      <c r="U8" s="107" t="str">
        <f t="shared" si="7"/>
        <v/>
      </c>
      <c r="V8" s="107" t="str">
        <f t="shared" si="8"/>
        <v/>
      </c>
      <c r="W8" s="148" t="str">
        <f t="shared" si="9"/>
        <v/>
      </c>
      <c r="X8" s="10" t="str">
        <f t="shared" si="13"/>
        <v/>
      </c>
      <c r="Y8" s="107" cm="1">
        <f t="array" ref="Y8">_xlfn.IFS(
    OR(X8&gt;0.99,X8&lt;0.01), 1,
    AND(X8&gt;0.19,X8&lt;0.21), 5,
    AND(X8&gt;0.32,X8&lt;0.34), 3,
    AND(X8&gt;0.49,X8&lt;0.51), 2,
    AND(X8&gt;0.65,X8&lt;0.68), 3,
    AND(X8&gt;0.74,X8&lt;0.75), 4,
    TRUE, 0
)</f>
        <v>1</v>
      </c>
      <c r="Z8" s="107" t="str">
        <f t="shared" si="10"/>
        <v/>
      </c>
      <c r="AA8" s="148" t="str">
        <f t="shared" si="11"/>
        <v/>
      </c>
      <c r="AB8" s="107" t="str">
        <f t="shared" si="12"/>
        <v/>
      </c>
      <c r="AE8" s="222" t="e">
        <f t="shared" si="0"/>
        <v>#VALUE!</v>
      </c>
      <c r="AG8" s="222">
        <v>6</v>
      </c>
      <c r="AH8" s="222" t="s">
        <v>107</v>
      </c>
      <c r="AK8" s="108" t="str">
        <f t="shared" si="20"/>
        <v/>
      </c>
      <c r="AL8" s="108" t="str">
        <f t="shared" si="21"/>
        <v/>
      </c>
      <c r="AO8" t="s">
        <v>395</v>
      </c>
      <c r="AP8" s="6">
        <v>208.98</v>
      </c>
      <c r="AQ8" t="s">
        <v>396</v>
      </c>
    </row>
    <row r="9" spans="2:43" ht="23.25">
      <c r="C9" s="153"/>
      <c r="D9" s="154"/>
      <c r="E9" s="155" t="str">
        <f t="shared" si="14"/>
        <v/>
      </c>
      <c r="I9" s="107" t="str">
        <f t="shared" si="15"/>
        <v/>
      </c>
      <c r="J9" s="107" t="str">
        <f t="shared" si="16"/>
        <v/>
      </c>
      <c r="K9" s="107" t="str">
        <f t="shared" si="17"/>
        <v/>
      </c>
      <c r="L9" s="107" t="str">
        <f t="shared" si="18"/>
        <v/>
      </c>
      <c r="M9" s="107" t="b">
        <f t="shared" si="19"/>
        <v>0</v>
      </c>
      <c r="N9" s="107" t="str">
        <f t="shared" si="1"/>
        <v/>
      </c>
      <c r="O9" s="107" t="str">
        <f t="shared" si="2"/>
        <v/>
      </c>
      <c r="P9" s="147" t="str">
        <f t="shared" si="3"/>
        <v/>
      </c>
      <c r="Q9" s="107" t="str">
        <f t="shared" si="4"/>
        <v/>
      </c>
      <c r="R9" s="107" t="str">
        <f t="shared" si="5"/>
        <v/>
      </c>
      <c r="S9" s="107" t="str" cm="1">
        <f t="array" aca="1" ref="S9" ca="1">IF(M9,IF(NOT(Q9),MAX(IF(ROW(INDIRECT("1:"&amp;ROUND((R9*(1+0.005))/2,0)))&lt;=ROUND((R9*(1+0.005))/2,0),IF(MOD(ROUND(R9*(1+0.005),0)/ROW(INDIRECT("1:"&amp;ROUND((R9*(1+0.005))/2,0))),1)=0,ROW(INDIRECT("1:"&amp;ROUND((R9*(1+0.005))/2,0)))))),P9),"")</f>
        <v/>
      </c>
      <c r="T9" s="107" t="str">
        <f t="shared" si="6"/>
        <v/>
      </c>
      <c r="U9" s="107" t="str">
        <f t="shared" si="7"/>
        <v/>
      </c>
      <c r="V9" s="107" t="str">
        <f t="shared" si="8"/>
        <v/>
      </c>
      <c r="W9" s="148" t="str">
        <f t="shared" si="9"/>
        <v/>
      </c>
      <c r="X9" s="10" t="str">
        <f t="shared" si="13"/>
        <v/>
      </c>
      <c r="Y9" s="107" t="str">
        <f>IF(M9,IF(Q9,"",1000/GCD(10000,ROUND(MOD(P9,1),#REF!)*1000)),"")</f>
        <v/>
      </c>
      <c r="Z9" s="107" t="str">
        <f t="shared" si="10"/>
        <v/>
      </c>
      <c r="AA9" s="148" t="str">
        <f t="shared" si="11"/>
        <v/>
      </c>
      <c r="AB9" s="107" t="str">
        <f t="shared" si="12"/>
        <v/>
      </c>
      <c r="AE9" s="222" t="e">
        <f t="shared" si="0"/>
        <v>#VALUE!</v>
      </c>
      <c r="AG9" s="222">
        <v>7</v>
      </c>
      <c r="AH9" s="222" t="s">
        <v>110</v>
      </c>
      <c r="AK9" s="108" t="str">
        <f t="shared" si="20"/>
        <v/>
      </c>
      <c r="AL9" s="108" t="str">
        <f t="shared" si="21"/>
        <v/>
      </c>
      <c r="AO9" t="s">
        <v>424</v>
      </c>
      <c r="AP9" s="6">
        <v>207.2</v>
      </c>
      <c r="AQ9" t="s">
        <v>426</v>
      </c>
    </row>
    <row r="10" spans="2:43" ht="23.25">
      <c r="C10" s="153"/>
      <c r="D10" s="154"/>
      <c r="E10" s="155" t="str">
        <f t="shared" si="14"/>
        <v/>
      </c>
      <c r="I10" s="107" t="str">
        <f t="shared" si="15"/>
        <v/>
      </c>
      <c r="J10" s="107" t="str">
        <f t="shared" si="16"/>
        <v/>
      </c>
      <c r="K10" s="107" t="str">
        <f t="shared" si="17"/>
        <v/>
      </c>
      <c r="L10" s="107" t="str">
        <f t="shared" si="18"/>
        <v/>
      </c>
      <c r="M10" s="107" t="b">
        <f t="shared" si="19"/>
        <v>0</v>
      </c>
      <c r="N10" s="107" t="str">
        <f t="shared" si="1"/>
        <v/>
      </c>
      <c r="O10" s="107" t="str">
        <f t="shared" si="2"/>
        <v/>
      </c>
      <c r="P10" s="147" t="str">
        <f t="shared" si="3"/>
        <v/>
      </c>
      <c r="Q10" s="107" t="str">
        <f t="shared" si="4"/>
        <v/>
      </c>
      <c r="R10" s="107" t="str">
        <f t="shared" si="5"/>
        <v/>
      </c>
      <c r="S10" s="107" t="str" cm="1">
        <f t="array" aca="1" ref="S10" ca="1">IF(M10,IF(NOT(Q10),MAX(IF(ROW(INDIRECT("1:"&amp;ROUND((R10*(1+0.005))/2,0)))&lt;=ROUND((R10*(1+0.005))/2,0),IF(MOD(ROUND(R10*(1+0.005),0)/ROW(INDIRECT("1:"&amp;ROUND((R10*(1+0.005))/2,0))),1)=0,ROW(INDIRECT("1:"&amp;ROUND((R10*(1+0.005))/2,0)))))),P10),"")</f>
        <v/>
      </c>
      <c r="T10" s="107" t="str">
        <f t="shared" si="6"/>
        <v/>
      </c>
      <c r="U10" s="107" t="str">
        <f t="shared" si="7"/>
        <v/>
      </c>
      <c r="V10" s="107" t="str">
        <f t="shared" si="8"/>
        <v/>
      </c>
      <c r="W10" s="148" t="str">
        <f t="shared" si="9"/>
        <v/>
      </c>
      <c r="X10" s="10" t="str">
        <f t="shared" si="13"/>
        <v/>
      </c>
      <c r="Y10" s="107" t="str">
        <f>IF(M10,IF(Q10,"",1000/GCD(10000,ROUND(MOD(P10,1),#REF!)*1000)),"")</f>
        <v/>
      </c>
      <c r="Z10" s="107" t="str">
        <f t="shared" si="10"/>
        <v/>
      </c>
      <c r="AA10" s="148" t="str">
        <f t="shared" si="11"/>
        <v/>
      </c>
      <c r="AB10" s="107" t="str">
        <f t="shared" si="12"/>
        <v/>
      </c>
      <c r="AE10" s="222" t="e">
        <f t="shared" si="0"/>
        <v>#VALUE!</v>
      </c>
      <c r="AG10" s="222">
        <v>8</v>
      </c>
      <c r="AH10" s="222" t="s">
        <v>113</v>
      </c>
      <c r="AK10" s="108" t="str">
        <f t="shared" si="20"/>
        <v/>
      </c>
      <c r="AL10" s="108" t="str">
        <f t="shared" si="21"/>
        <v/>
      </c>
      <c r="AO10" t="s">
        <v>506</v>
      </c>
      <c r="AP10" s="6">
        <v>10.81</v>
      </c>
      <c r="AQ10" t="s">
        <v>507</v>
      </c>
    </row>
    <row r="11" spans="2:43" ht="23.25">
      <c r="C11" s="153"/>
      <c r="D11" s="154"/>
      <c r="E11" s="155" t="str">
        <f t="shared" si="14"/>
        <v/>
      </c>
      <c r="I11" s="107" t="str">
        <f t="shared" si="15"/>
        <v/>
      </c>
      <c r="J11" s="107" t="str">
        <f t="shared" si="16"/>
        <v/>
      </c>
      <c r="K11" s="107" t="str">
        <f t="shared" si="17"/>
        <v/>
      </c>
      <c r="L11" s="107" t="str">
        <f t="shared" si="18"/>
        <v/>
      </c>
      <c r="M11" s="107" t="b">
        <f t="shared" si="19"/>
        <v>0</v>
      </c>
      <c r="N11" s="107" t="str">
        <f t="shared" si="1"/>
        <v/>
      </c>
      <c r="O11" s="107" t="str">
        <f t="shared" si="2"/>
        <v/>
      </c>
      <c r="P11" s="147" t="str">
        <f t="shared" si="3"/>
        <v/>
      </c>
      <c r="Q11" s="107" t="str">
        <f t="shared" si="4"/>
        <v/>
      </c>
      <c r="R11" s="107" t="str">
        <f t="shared" si="5"/>
        <v/>
      </c>
      <c r="S11" s="107" t="str" cm="1">
        <f t="array" aca="1" ref="S11" ca="1">IF(M11,IF(NOT(Q11),MAX(IF(ROW(INDIRECT("1:"&amp;ROUND((R11*(1+0.005))/2,0)))&lt;=ROUND((R11*(1+0.005))/2,0),IF(MOD(ROUND(R11*(1+0.005),0)/ROW(INDIRECT("1:"&amp;ROUND((R11*(1+0.005))/2,0))),1)=0,ROW(INDIRECT("1:"&amp;ROUND((R11*(1+0.005))/2,0)))))),P11),"")</f>
        <v/>
      </c>
      <c r="T11" s="107" t="str">
        <f t="shared" si="6"/>
        <v/>
      </c>
      <c r="U11" s="107" t="str">
        <f t="shared" si="7"/>
        <v/>
      </c>
      <c r="V11" s="107" t="str">
        <f t="shared" si="8"/>
        <v/>
      </c>
      <c r="W11" s="148" t="str">
        <f t="shared" si="9"/>
        <v/>
      </c>
      <c r="X11" s="10" t="str">
        <f t="shared" si="13"/>
        <v/>
      </c>
      <c r="Y11" s="107" t="str">
        <f>IF(M11,IF(Q11,"",1000/GCD(10000,ROUND(MOD(P11,1),#REF!)*1000)),"")</f>
        <v/>
      </c>
      <c r="Z11" s="107" t="str">
        <f t="shared" si="10"/>
        <v/>
      </c>
      <c r="AA11" s="148" t="str">
        <f t="shared" si="11"/>
        <v/>
      </c>
      <c r="AB11" s="107" t="str">
        <f t="shared" si="12"/>
        <v/>
      </c>
      <c r="AE11" s="222" t="e">
        <f t="shared" si="0"/>
        <v>#VALUE!</v>
      </c>
      <c r="AG11" s="222">
        <v>9</v>
      </c>
      <c r="AH11" s="222" t="s">
        <v>116</v>
      </c>
      <c r="AK11" s="108" t="str">
        <f t="shared" si="20"/>
        <v/>
      </c>
      <c r="AL11" s="108" t="str">
        <f t="shared" si="21"/>
        <v/>
      </c>
      <c r="AO11" t="s">
        <v>547</v>
      </c>
      <c r="AP11" s="6">
        <v>79.900000000000006</v>
      </c>
      <c r="AQ11" t="s">
        <v>548</v>
      </c>
    </row>
    <row r="12" spans="2:43" ht="23.25">
      <c r="C12" s="153"/>
      <c r="D12" s="154"/>
      <c r="E12" s="155" t="str">
        <f t="shared" si="14"/>
        <v/>
      </c>
      <c r="I12" s="107" t="str">
        <f t="shared" si="15"/>
        <v/>
      </c>
      <c r="J12" s="107" t="str">
        <f t="shared" si="16"/>
        <v/>
      </c>
      <c r="K12" s="107" t="str">
        <f t="shared" si="17"/>
        <v/>
      </c>
      <c r="L12" s="107" t="str">
        <f t="shared" si="18"/>
        <v/>
      </c>
      <c r="M12" s="107" t="b">
        <f t="shared" si="19"/>
        <v>0</v>
      </c>
      <c r="N12" s="107" t="str">
        <f t="shared" si="1"/>
        <v/>
      </c>
      <c r="O12" s="107" t="str">
        <f t="shared" si="2"/>
        <v/>
      </c>
      <c r="P12" s="147" t="str">
        <f t="shared" si="3"/>
        <v/>
      </c>
      <c r="Q12" s="107" t="str">
        <f t="shared" si="4"/>
        <v/>
      </c>
      <c r="R12" s="107" t="str">
        <f t="shared" si="5"/>
        <v/>
      </c>
      <c r="S12" s="107" t="str" cm="1">
        <f t="array" aca="1" ref="S12" ca="1">IF(M12,IF(NOT(Q12),MAX(IF(ROW(INDIRECT("1:"&amp;ROUND((R12*(1+0.005))/2,0)))&lt;=ROUND((R12*(1+0.005))/2,0),IF(MOD(ROUND(R12*(1+0.005),0)/ROW(INDIRECT("1:"&amp;ROUND((R12*(1+0.005))/2,0))),1)=0,ROW(INDIRECT("1:"&amp;ROUND((R12*(1+0.005))/2,0)))))),P12),"")</f>
        <v/>
      </c>
      <c r="T12" s="107" t="str">
        <f t="shared" si="6"/>
        <v/>
      </c>
      <c r="U12" s="107" t="str">
        <f t="shared" si="7"/>
        <v/>
      </c>
      <c r="V12" s="107" t="str">
        <f t="shared" si="8"/>
        <v/>
      </c>
      <c r="W12" s="148" t="str">
        <f t="shared" si="9"/>
        <v/>
      </c>
      <c r="X12" s="10" t="str">
        <f t="shared" si="13"/>
        <v/>
      </c>
      <c r="Y12" s="107" t="str">
        <f>IF(M12,IF(Q12,"",1000/GCD(10000,ROUND(MOD(P12,1),#REF!)*1000)),"")</f>
        <v/>
      </c>
      <c r="Z12" s="107" t="str">
        <f t="shared" si="10"/>
        <v/>
      </c>
      <c r="AA12" s="148" t="str">
        <f t="shared" si="11"/>
        <v/>
      </c>
      <c r="AB12" s="107" t="str">
        <f t="shared" si="12"/>
        <v/>
      </c>
      <c r="AE12" s="222" t="e">
        <f t="shared" si="0"/>
        <v>#VALUE!</v>
      </c>
      <c r="AK12" s="108" t="str">
        <f t="shared" si="20"/>
        <v/>
      </c>
      <c r="AL12" s="108" t="str">
        <f t="shared" si="21"/>
        <v/>
      </c>
      <c r="AO12" t="s">
        <v>578</v>
      </c>
      <c r="AP12" s="6">
        <v>112.4</v>
      </c>
      <c r="AQ12" t="s">
        <v>579</v>
      </c>
    </row>
    <row r="13" spans="2:43" ht="23.25">
      <c r="C13" s="153"/>
      <c r="D13" s="154"/>
      <c r="E13" s="155" t="str">
        <f t="shared" si="14"/>
        <v/>
      </c>
      <c r="I13" s="107" t="str">
        <f t="shared" si="15"/>
        <v/>
      </c>
      <c r="J13" s="107" t="str">
        <f t="shared" si="16"/>
        <v/>
      </c>
      <c r="K13" s="107" t="str">
        <f t="shared" si="17"/>
        <v/>
      </c>
      <c r="L13" s="107" t="str">
        <f t="shared" si="18"/>
        <v/>
      </c>
      <c r="M13" s="107" t="b">
        <f t="shared" si="19"/>
        <v>0</v>
      </c>
      <c r="N13" s="107" t="str">
        <f t="shared" si="1"/>
        <v/>
      </c>
      <c r="O13" s="107" t="str">
        <f t="shared" si="2"/>
        <v/>
      </c>
      <c r="P13" s="147" t="str">
        <f t="shared" si="3"/>
        <v/>
      </c>
      <c r="Q13" s="107" t="str">
        <f t="shared" si="4"/>
        <v/>
      </c>
      <c r="R13" s="107" t="str">
        <f t="shared" si="5"/>
        <v/>
      </c>
      <c r="S13" s="107" t="str" cm="1">
        <f t="array" aca="1" ref="S13" ca="1">IF(M13,IF(NOT(Q13),MAX(IF(ROW(INDIRECT("1:"&amp;ROUND((R13*(1+0.005))/2,0)))&lt;=ROUND((R13*(1+0.005))/2,0),IF(MOD(ROUND(R13*(1+0.005),0)/ROW(INDIRECT("1:"&amp;ROUND((R13*(1+0.005))/2,0))),1)=0,ROW(INDIRECT("1:"&amp;ROUND((R13*(1+0.005))/2,0)))))),P13),"")</f>
        <v/>
      </c>
      <c r="T13" s="107" t="str">
        <f t="shared" si="6"/>
        <v/>
      </c>
      <c r="U13" s="107" t="str">
        <f t="shared" si="7"/>
        <v/>
      </c>
      <c r="V13" s="107" t="str">
        <f t="shared" si="8"/>
        <v/>
      </c>
      <c r="W13" s="148" t="str">
        <f t="shared" si="9"/>
        <v/>
      </c>
      <c r="X13" s="10" t="str">
        <f t="shared" si="13"/>
        <v/>
      </c>
      <c r="Y13" s="107" t="str">
        <f>IF(M13,IF(Q13,"",1000/GCD(10000,ROUND(MOD(P13,1),#REF!)*1000)),"")</f>
        <v/>
      </c>
      <c r="Z13" s="107" t="str">
        <f t="shared" si="10"/>
        <v/>
      </c>
      <c r="AA13" s="148" t="str">
        <f t="shared" si="11"/>
        <v/>
      </c>
      <c r="AB13" s="107" t="str">
        <f t="shared" si="12"/>
        <v/>
      </c>
      <c r="AE13" s="222" t="e">
        <f t="shared" si="0"/>
        <v>#VALUE!</v>
      </c>
      <c r="AK13" s="108" t="str">
        <f t="shared" si="20"/>
        <v/>
      </c>
      <c r="AL13" s="108" t="str">
        <f t="shared" ref="AL13:AL18" si="22">IF(M11,I11&amp;IF(AND(Q11,ROUND(Z11*$AK$2,0)=1),"",ROUND(Z11*$AK$2,0)),"")</f>
        <v/>
      </c>
      <c r="AO13" t="s">
        <v>637</v>
      </c>
      <c r="AP13" s="6">
        <v>40.08</v>
      </c>
      <c r="AQ13" t="s">
        <v>5612</v>
      </c>
    </row>
    <row r="14" spans="2:43" ht="23.25">
      <c r="C14" s="153"/>
      <c r="D14" s="154"/>
      <c r="E14" s="155" t="str">
        <f t="shared" si="14"/>
        <v/>
      </c>
      <c r="I14" s="107" t="str">
        <f t="shared" si="15"/>
        <v/>
      </c>
      <c r="J14" s="107" t="str">
        <f t="shared" si="16"/>
        <v/>
      </c>
      <c r="K14" s="107" t="str">
        <f t="shared" si="17"/>
        <v/>
      </c>
      <c r="L14" s="107" t="str">
        <f t="shared" si="18"/>
        <v/>
      </c>
      <c r="M14" s="107" t="b">
        <f t="shared" si="19"/>
        <v>0</v>
      </c>
      <c r="N14" s="107" t="str">
        <f t="shared" si="1"/>
        <v/>
      </c>
      <c r="O14" s="107" t="str">
        <f t="shared" si="2"/>
        <v/>
      </c>
      <c r="P14" s="147" t="str">
        <f t="shared" si="3"/>
        <v/>
      </c>
      <c r="Q14" s="107" t="str">
        <f t="shared" si="4"/>
        <v/>
      </c>
      <c r="R14" s="107" t="str">
        <f t="shared" si="5"/>
        <v/>
      </c>
      <c r="S14" s="107" t="str" cm="1">
        <f t="array" aca="1" ref="S14" ca="1">IF(M14,IF(NOT(Q14),MAX(IF(ROW(INDIRECT("1:"&amp;ROUND((R14*(1+0.005))/2,0)))&lt;=ROUND((R14*(1+0.005))/2,0),IF(MOD(ROUND(R14*(1+0.005),0)/ROW(INDIRECT("1:"&amp;ROUND((R14*(1+0.005))/2,0))),1)=0,ROW(INDIRECT("1:"&amp;ROUND((R14*(1+0.005))/2,0)))))),P14),"")</f>
        <v/>
      </c>
      <c r="T14" s="107" t="str">
        <f t="shared" si="6"/>
        <v/>
      </c>
      <c r="U14" s="107" t="str">
        <f t="shared" si="7"/>
        <v/>
      </c>
      <c r="V14" s="107" t="str">
        <f t="shared" si="8"/>
        <v/>
      </c>
      <c r="W14" s="148" t="str">
        <f t="shared" si="9"/>
        <v/>
      </c>
      <c r="X14" s="10" t="str">
        <f t="shared" si="13"/>
        <v/>
      </c>
      <c r="Y14" s="107" t="str">
        <f>IF(M14,IF(Q14,"",1000/GCD(10000,ROUND(MOD(P14,1),#REF!)*1000)),"")</f>
        <v/>
      </c>
      <c r="Z14" s="107" t="str">
        <f t="shared" si="10"/>
        <v/>
      </c>
      <c r="AA14" s="148" t="str">
        <f t="shared" si="11"/>
        <v/>
      </c>
      <c r="AB14" s="107" t="str">
        <f t="shared" si="12"/>
        <v/>
      </c>
      <c r="AE14" s="222" t="e">
        <f t="shared" si="0"/>
        <v>#VALUE!</v>
      </c>
      <c r="AK14" s="108" t="str">
        <f t="shared" si="20"/>
        <v/>
      </c>
      <c r="AL14" s="108" t="str">
        <f t="shared" si="22"/>
        <v/>
      </c>
      <c r="AO14" t="s">
        <v>783</v>
      </c>
      <c r="AP14" s="6">
        <v>12.01</v>
      </c>
      <c r="AQ14" t="s">
        <v>785</v>
      </c>
    </row>
    <row r="15" spans="2:43" ht="23.25">
      <c r="C15" s="153"/>
      <c r="D15" s="154"/>
      <c r="E15" s="155" t="str">
        <f t="shared" si="14"/>
        <v/>
      </c>
      <c r="I15" s="107" t="str">
        <f t="shared" si="15"/>
        <v/>
      </c>
      <c r="J15" s="107" t="str">
        <f t="shared" si="16"/>
        <v/>
      </c>
      <c r="K15" s="107" t="str">
        <f t="shared" si="17"/>
        <v/>
      </c>
      <c r="L15" s="107" t="str">
        <f t="shared" si="18"/>
        <v/>
      </c>
      <c r="M15" s="107" t="b">
        <f t="shared" si="19"/>
        <v>0</v>
      </c>
      <c r="N15" s="107" t="str">
        <f t="shared" si="1"/>
        <v/>
      </c>
      <c r="O15" s="107" t="str">
        <f t="shared" si="2"/>
        <v/>
      </c>
      <c r="P15" s="147" t="str">
        <f>IF(M15,#REF!/$AD$2,"")</f>
        <v/>
      </c>
      <c r="Q15" s="107" t="str">
        <f t="shared" si="4"/>
        <v/>
      </c>
      <c r="R15" s="107" t="str">
        <f t="shared" si="5"/>
        <v/>
      </c>
      <c r="S15" s="107" t="str" cm="1">
        <f t="array" aca="1" ref="S15" ca="1">IF(M15,IF(NOT(Q15),MAX(IF(ROW(INDIRECT("1:"&amp;ROUND((R15*(1+0.005))/2,0)))&lt;=ROUND((R15*(1+0.005))/2,0),IF(MOD(ROUND(R15*(1+0.005),0)/ROW(INDIRECT("1:"&amp;ROUND((R15*(1+0.005))/2,0))),1)=0,ROW(INDIRECT("1:"&amp;ROUND((R15*(1+0.005))/2,0)))))),P15),"")</f>
        <v/>
      </c>
      <c r="T15" s="107" t="str">
        <f t="shared" si="6"/>
        <v/>
      </c>
      <c r="U15" s="107" t="str">
        <f t="shared" si="7"/>
        <v/>
      </c>
      <c r="V15" s="107" t="str">
        <f t="shared" si="8"/>
        <v/>
      </c>
      <c r="W15" s="148" t="str">
        <f t="shared" si="9"/>
        <v/>
      </c>
      <c r="X15" s="10" t="str">
        <f t="shared" si="13"/>
        <v/>
      </c>
      <c r="Y15" s="107" t="str">
        <f>IF(M15,IF(Q15,"",1000/GCD(10000,ROUND(MOD(P15,1),#REF!)*1000)),"")</f>
        <v/>
      </c>
      <c r="Z15" s="107" t="str">
        <f t="shared" si="10"/>
        <v/>
      </c>
      <c r="AA15" s="148" t="str">
        <f t="shared" si="11"/>
        <v/>
      </c>
      <c r="AB15" s="107" t="str">
        <f t="shared" si="12"/>
        <v/>
      </c>
      <c r="AE15" s="222"/>
      <c r="AK15" s="108" t="str">
        <f t="shared" si="20"/>
        <v/>
      </c>
      <c r="AL15" s="108" t="str">
        <f t="shared" si="22"/>
        <v/>
      </c>
      <c r="AO15" t="s">
        <v>854</v>
      </c>
      <c r="AP15" s="6">
        <v>140.12</v>
      </c>
      <c r="AQ15" t="s">
        <v>855</v>
      </c>
    </row>
    <row r="16" spans="2:43" ht="24" thickBot="1">
      <c r="C16" s="156"/>
      <c r="D16" s="157"/>
      <c r="E16" s="158" t="str">
        <f t="shared" si="14"/>
        <v/>
      </c>
      <c r="I16" s="107" t="str">
        <f t="shared" si="15"/>
        <v/>
      </c>
      <c r="J16" s="107" t="str">
        <f t="shared" si="16"/>
        <v/>
      </c>
      <c r="K16" s="107" t="str">
        <f t="shared" si="17"/>
        <v/>
      </c>
      <c r="L16" s="107" t="str">
        <f t="shared" si="18"/>
        <v/>
      </c>
      <c r="M16" s="107" t="b">
        <f t="shared" si="19"/>
        <v>0</v>
      </c>
      <c r="N16" s="107" t="str">
        <f t="shared" si="1"/>
        <v/>
      </c>
      <c r="O16" s="107" t="str">
        <f t="shared" si="2"/>
        <v/>
      </c>
      <c r="P16" s="147" t="str">
        <f>IF(M16,#REF!/$AD$2,"")</f>
        <v/>
      </c>
      <c r="Q16" s="107" t="str">
        <f t="shared" si="4"/>
        <v/>
      </c>
      <c r="R16" s="107" t="str">
        <f t="shared" si="5"/>
        <v/>
      </c>
      <c r="S16" s="107" t="str" cm="1">
        <f t="array" aca="1" ref="S16" ca="1">IF(M16,IF(NOT(Q16),MAX(IF(ROW(INDIRECT("1:"&amp;ROUND((R16*(1+0.005))/2,0)))&lt;=ROUND((R16*(1+0.005))/2,0),IF(MOD(ROUND(R16*(1+0.005),0)/ROW(INDIRECT("1:"&amp;ROUND((R16*(1+0.005))/2,0))),1)=0,ROW(INDIRECT("1:"&amp;ROUND((R16*(1+0.005))/2,0)))))),P16),"")</f>
        <v/>
      </c>
      <c r="T16" s="107" t="str">
        <f t="shared" si="6"/>
        <v/>
      </c>
      <c r="U16" s="107" t="str">
        <f t="shared" si="7"/>
        <v/>
      </c>
      <c r="V16" s="107" t="str">
        <f t="shared" si="8"/>
        <v/>
      </c>
      <c r="W16" s="148" t="str">
        <f t="shared" si="9"/>
        <v/>
      </c>
      <c r="X16" s="10" t="str">
        <f t="shared" si="13"/>
        <v/>
      </c>
      <c r="Y16" s="107" t="str">
        <f>IF(M16,IF(Q16,"",1000/GCD(10000,ROUND(MOD(P16,1),#REF!)*1000)),"")</f>
        <v/>
      </c>
      <c r="Z16" s="107" t="str">
        <f t="shared" si="10"/>
        <v/>
      </c>
      <c r="AA16" s="148" t="str">
        <f t="shared" si="11"/>
        <v/>
      </c>
      <c r="AB16" s="107" t="str">
        <f t="shared" si="12"/>
        <v/>
      </c>
      <c r="AE16" s="222"/>
      <c r="AK16" s="108" t="str">
        <f t="shared" si="20"/>
        <v/>
      </c>
      <c r="AL16" s="108" t="str">
        <f t="shared" si="22"/>
        <v/>
      </c>
      <c r="AO16" t="s">
        <v>891</v>
      </c>
      <c r="AP16" s="6">
        <v>35.450000000000003</v>
      </c>
      <c r="AQ16" t="s">
        <v>893</v>
      </c>
    </row>
    <row r="17" spans="3:43" ht="29.25" thickBot="1">
      <c r="C17" s="159" t="str">
        <f>IF(OR(SUM(D4:D16)&lt; 0.99,SUM(D4:D16)&gt;1.01),"Du er ikke færdig med at indtaste","")</f>
        <v>Du er ikke færdig med at indtaste</v>
      </c>
      <c r="D17" s="160"/>
      <c r="E17" s="160"/>
      <c r="K17" s="250"/>
      <c r="L17" s="140"/>
      <c r="Y17" s="251">
        <v>1</v>
      </c>
      <c r="AK17" s="108" t="str">
        <f t="shared" si="20"/>
        <v/>
      </c>
      <c r="AL17" s="108" t="str">
        <f t="shared" si="22"/>
        <v/>
      </c>
      <c r="AO17" t="s">
        <v>950</v>
      </c>
      <c r="AP17" s="6">
        <v>52</v>
      </c>
      <c r="AQ17" t="s">
        <v>951</v>
      </c>
    </row>
    <row r="18" spans="3:43" ht="15.75" thickBot="1">
      <c r="AK18" s="225" t="str">
        <f t="shared" si="20"/>
        <v/>
      </c>
      <c r="AL18" s="108" t="str">
        <f t="shared" si="22"/>
        <v/>
      </c>
      <c r="AO18" t="s">
        <v>1031</v>
      </c>
      <c r="AP18" s="6">
        <v>58.93</v>
      </c>
      <c r="AQ18" t="s">
        <v>1032</v>
      </c>
    </row>
    <row r="19" spans="3:43" ht="16.5" thickBot="1">
      <c r="C19" s="161" t="s">
        <v>5613</v>
      </c>
      <c r="D19" s="162"/>
      <c r="E19" s="216"/>
      <c r="AK19" s="226" t="e">
        <f>SUM(AK6:AK18)</f>
        <v>#VALUE!</v>
      </c>
      <c r="AL19" s="224"/>
      <c r="AO19" t="s">
        <v>1091</v>
      </c>
      <c r="AP19" s="6">
        <v>132.91</v>
      </c>
      <c r="AQ19" t="s">
        <v>1092</v>
      </c>
    </row>
    <row r="20" spans="3:43" ht="15.75">
      <c r="C20" s="173"/>
      <c r="AO20" t="s">
        <v>1121</v>
      </c>
      <c r="AP20" s="6">
        <v>19</v>
      </c>
      <c r="AQ20" t="s">
        <v>5614</v>
      </c>
    </row>
    <row r="21" spans="3:43" ht="16.5" thickBot="1">
      <c r="C21" s="173"/>
      <c r="AO21" t="s">
        <v>1145</v>
      </c>
      <c r="AP21" s="6">
        <v>72.59</v>
      </c>
      <c r="AQ21" t="s">
        <v>1146</v>
      </c>
    </row>
    <row r="22" spans="3:43" ht="15.75" thickBot="1">
      <c r="F22" s="25" t="s">
        <v>5615</v>
      </c>
      <c r="AO22" t="s">
        <v>1160</v>
      </c>
      <c r="AP22" s="6">
        <v>196.97</v>
      </c>
      <c r="AQ22" t="s">
        <v>1161</v>
      </c>
    </row>
    <row r="23" spans="3:43" ht="31.5">
      <c r="C23" s="320" t="s">
        <v>5616</v>
      </c>
      <c r="D23" s="321"/>
      <c r="E23" s="163" t="e">
        <f>IFERROR(AI2,AI3)</f>
        <v>#VALUE!</v>
      </c>
      <c r="F23" s="164" t="e">
        <f>IF(E30="","",IFERROR(MAX(W4:W10),""))</f>
        <v>#VALUE!</v>
      </c>
      <c r="AO23" t="s">
        <v>1175</v>
      </c>
      <c r="AP23" s="6">
        <v>4</v>
      </c>
      <c r="AQ23" t="s">
        <v>1176</v>
      </c>
    </row>
    <row r="24" spans="3:43" ht="32.25" thickBot="1">
      <c r="C24" s="322" t="str">
        <f>IF(E19&lt;&gt;"","Molekylformlen er:","")</f>
        <v/>
      </c>
      <c r="D24" s="323"/>
      <c r="E24" s="215" t="str">
        <f>IF(E19="","",IFERROR(AL2,AL3))</f>
        <v/>
      </c>
      <c r="F24" s="166" t="str">
        <f>IFERROR(ABS(AK19*AK3-E19)/E19,"")</f>
        <v/>
      </c>
      <c r="AO24" t="s">
        <v>1177</v>
      </c>
      <c r="AP24" s="6">
        <v>1.008</v>
      </c>
      <c r="AQ24" t="s">
        <v>1178</v>
      </c>
    </row>
    <row r="25" spans="3:43" ht="21">
      <c r="C25" s="214"/>
      <c r="D25" s="214"/>
      <c r="AO25" t="s">
        <v>1200</v>
      </c>
      <c r="AP25" s="6">
        <v>126.9</v>
      </c>
      <c r="AQ25" t="s">
        <v>1201</v>
      </c>
    </row>
    <row r="26" spans="3:43" ht="21">
      <c r="C26" s="214"/>
      <c r="D26" s="214"/>
      <c r="AO26" t="s">
        <v>1248</v>
      </c>
      <c r="AP26" s="6">
        <v>55.85</v>
      </c>
      <c r="AQ26" t="s">
        <v>1249</v>
      </c>
    </row>
    <row r="27" spans="3:43" ht="15.75">
      <c r="C27" s="173"/>
      <c r="AO27" t="s">
        <v>37</v>
      </c>
      <c r="AP27" s="6">
        <v>39.1</v>
      </c>
      <c r="AQ27" t="s">
        <v>1353</v>
      </c>
    </row>
    <row r="28" spans="3:43" ht="15.75" thickBot="1">
      <c r="AO28" t="s">
        <v>1518</v>
      </c>
      <c r="AP28" s="6">
        <v>63.55</v>
      </c>
      <c r="AQ28" t="s">
        <v>1519</v>
      </c>
    </row>
    <row r="29" spans="3:43" ht="21">
      <c r="C29" s="324" t="s">
        <v>5813</v>
      </c>
      <c r="D29" s="324"/>
      <c r="E29" s="325"/>
      <c r="F29" s="146" t="s">
        <v>5615</v>
      </c>
      <c r="AO29" t="s">
        <v>1600</v>
      </c>
      <c r="AP29" s="6">
        <v>83.8</v>
      </c>
      <c r="AQ29" t="s">
        <v>1601</v>
      </c>
    </row>
    <row r="30" spans="3:43" ht="31.5">
      <c r="C30" s="316" t="s">
        <v>5616</v>
      </c>
      <c r="D30" s="317"/>
      <c r="E30" s="163" t="e">
        <f>IFERROR(AJ2,AJ3)</f>
        <v>#VALUE!</v>
      </c>
      <c r="F30" s="164" t="e">
        <f>IF(E30="","",IFERROR(MAX(AA4:AA10),""))</f>
        <v>#VALUE!</v>
      </c>
      <c r="AO30" t="s">
        <v>1606</v>
      </c>
      <c r="AP30" s="6">
        <v>200.59</v>
      </c>
      <c r="AQ30" t="s">
        <v>1607</v>
      </c>
    </row>
    <row r="31" spans="3:43" ht="32.25" thickBot="1">
      <c r="C31" s="318" t="str">
        <f>IF(E19&lt;&gt;"","Molekylformlen er:","")</f>
        <v/>
      </c>
      <c r="D31" s="319"/>
      <c r="E31" s="165" t="str">
        <f>IF(E19="","",IFERROR(AL2,AL3))</f>
        <v/>
      </c>
      <c r="F31" s="166" t="str">
        <f>IFERROR(ABS(AK19*AK3-E19)/E19,"")</f>
        <v/>
      </c>
      <c r="AO31" t="s">
        <v>1674</v>
      </c>
      <c r="AP31" s="6">
        <v>6.94</v>
      </c>
      <c r="AQ31" t="s">
        <v>1675</v>
      </c>
    </row>
    <row r="32" spans="3:43">
      <c r="AO32" t="s">
        <v>1721</v>
      </c>
      <c r="AP32" s="6">
        <v>24.31</v>
      </c>
      <c r="AQ32" t="s">
        <v>1722</v>
      </c>
    </row>
    <row r="33" spans="6:68">
      <c r="AO33" t="s">
        <v>1797</v>
      </c>
      <c r="AP33" s="6">
        <v>54.94</v>
      </c>
      <c r="AQ33" t="s">
        <v>1798</v>
      </c>
    </row>
    <row r="34" spans="6:68">
      <c r="AO34" t="s">
        <v>1865</v>
      </c>
      <c r="AP34" s="6">
        <v>95.94</v>
      </c>
      <c r="AQ34" t="s">
        <v>1866</v>
      </c>
    </row>
    <row r="35" spans="6:68">
      <c r="AO35" t="s">
        <v>1893</v>
      </c>
      <c r="AP35" s="6">
        <v>22.99</v>
      </c>
      <c r="AQ35" t="s">
        <v>1894</v>
      </c>
    </row>
    <row r="36" spans="6:68">
      <c r="AO36" t="s">
        <v>5811</v>
      </c>
      <c r="AP36" s="6">
        <v>144.24199999999999</v>
      </c>
      <c r="AQ36" t="s">
        <v>5812</v>
      </c>
      <c r="BP36" t="str">
        <f>SUBSTITUTE(SUBSTITUTE(SUBSTITUTE(SUBSTITUTE(SUBSTITUTE(SUBSTITUTE(SUBSTITUTE(BX33,$CB$11,$CC$11),$AG$2,$AH$2),$AG$3,$AH$3),$AG$4,$AH$4),$AG$5,$AH$5),AG6,AH6),AG7,AH7)</f>
        <v/>
      </c>
    </row>
    <row r="37" spans="6:68">
      <c r="AO37" t="s">
        <v>2194</v>
      </c>
      <c r="AP37" s="6">
        <v>20.18</v>
      </c>
      <c r="AQ37" t="s">
        <v>2195</v>
      </c>
    </row>
    <row r="38" spans="6:68">
      <c r="AO38" t="s">
        <v>2196</v>
      </c>
      <c r="AP38" s="6">
        <v>58.69</v>
      </c>
      <c r="AQ38" t="s">
        <v>2197</v>
      </c>
    </row>
    <row r="39" spans="6:68">
      <c r="AO39" t="s">
        <v>2243</v>
      </c>
      <c r="AP39" s="6">
        <v>14.007</v>
      </c>
      <c r="AQ39" t="s">
        <v>2244</v>
      </c>
    </row>
    <row r="40" spans="6:68">
      <c r="AO40" t="s">
        <v>2386</v>
      </c>
      <c r="AP40" s="6">
        <v>16</v>
      </c>
      <c r="AQ40" t="s">
        <v>2387</v>
      </c>
    </row>
    <row r="41" spans="6:68">
      <c r="F41" t="str">
        <f>IF(E33="","",IF(OR(E33=1,E33=2,E33=0),"","Du skal indtaste enten 0, 1 eller 2 i feltet!"))</f>
        <v/>
      </c>
      <c r="AO41" t="s">
        <v>2420</v>
      </c>
      <c r="AP41" s="6">
        <v>30.97</v>
      </c>
      <c r="AQ41" t="s">
        <v>2419</v>
      </c>
    </row>
    <row r="42" spans="6:68">
      <c r="AO42" t="s">
        <v>2465</v>
      </c>
      <c r="AP42" s="6">
        <v>195.08</v>
      </c>
      <c r="AQ42" t="s">
        <v>2466</v>
      </c>
    </row>
    <row r="43" spans="6:68">
      <c r="AO43" t="s">
        <v>2476</v>
      </c>
      <c r="AP43" s="6">
        <v>85.47</v>
      </c>
      <c r="AQ43" t="s">
        <v>2477</v>
      </c>
    </row>
    <row r="44" spans="6:68">
      <c r="AO44" t="s">
        <v>2483</v>
      </c>
      <c r="AP44" s="6">
        <v>78.959999999999994</v>
      </c>
      <c r="AQ44" t="s">
        <v>2484</v>
      </c>
    </row>
    <row r="45" spans="6:68">
      <c r="AO45" t="s">
        <v>2494</v>
      </c>
      <c r="AP45" s="6">
        <v>28.09</v>
      </c>
      <c r="AQ45" t="s">
        <v>2495</v>
      </c>
    </row>
    <row r="46" spans="6:68">
      <c r="AO46" t="s">
        <v>56</v>
      </c>
      <c r="AP46" s="6">
        <v>87.62</v>
      </c>
      <c r="AQ46" t="s">
        <v>2512</v>
      </c>
    </row>
    <row r="47" spans="6:68">
      <c r="AO47" t="s">
        <v>2550</v>
      </c>
      <c r="AP47" s="6">
        <v>32.07</v>
      </c>
      <c r="AQ47" t="s">
        <v>2551</v>
      </c>
    </row>
    <row r="48" spans="6:68">
      <c r="AO48" t="s">
        <v>2621</v>
      </c>
      <c r="AP48" s="6">
        <v>107.87</v>
      </c>
      <c r="AQ48" t="s">
        <v>2622</v>
      </c>
    </row>
    <row r="49" spans="41:43">
      <c r="AO49" t="s">
        <v>2688</v>
      </c>
      <c r="AP49" s="6">
        <v>232.04</v>
      </c>
      <c r="AQ49" t="s">
        <v>2689</v>
      </c>
    </row>
    <row r="50" spans="41:43">
      <c r="AO50" t="s">
        <v>2712</v>
      </c>
      <c r="AP50" s="6">
        <v>118.71</v>
      </c>
      <c r="AQ50" t="s">
        <v>2713</v>
      </c>
    </row>
    <row r="51" spans="41:43">
      <c r="AO51" t="s">
        <v>2763</v>
      </c>
      <c r="AP51" s="6">
        <v>47.87</v>
      </c>
      <c r="AQ51" t="s">
        <v>2764</v>
      </c>
    </row>
    <row r="52" spans="41:43">
      <c r="AO52" t="s">
        <v>2784</v>
      </c>
      <c r="AP52" s="6">
        <v>238.03</v>
      </c>
      <c r="AQ52" t="s">
        <v>2785</v>
      </c>
    </row>
    <row r="53" spans="41:43">
      <c r="AO53" t="s">
        <v>2824</v>
      </c>
      <c r="AP53" s="6">
        <v>50.94</v>
      </c>
      <c r="AQ53" t="s">
        <v>2825</v>
      </c>
    </row>
    <row r="54" spans="41:43">
      <c r="AO54" t="s">
        <v>2846</v>
      </c>
      <c r="AP54" s="6">
        <v>183.84</v>
      </c>
      <c r="AQ54" t="s">
        <v>2847</v>
      </c>
    </row>
    <row r="55" spans="41:43">
      <c r="AO55" t="s">
        <v>2859</v>
      </c>
      <c r="AP55" s="6">
        <v>131.29</v>
      </c>
      <c r="AQ55" t="s">
        <v>2860</v>
      </c>
    </row>
    <row r="56" spans="41:43">
      <c r="AO56" t="s">
        <v>2881</v>
      </c>
      <c r="AP56" s="6">
        <v>65.39</v>
      </c>
      <c r="AQ56" t="s">
        <v>2882</v>
      </c>
    </row>
    <row r="164" spans="5:5">
      <c r="E164" t="str">
        <f t="shared" ref="E164:E227" si="23">MID(C164,3,20)</f>
        <v/>
      </c>
    </row>
    <row r="165" spans="5:5">
      <c r="E165" t="str">
        <f t="shared" si="23"/>
        <v/>
      </c>
    </row>
    <row r="166" spans="5:5">
      <c r="E166" t="str">
        <f t="shared" si="23"/>
        <v/>
      </c>
    </row>
    <row r="167" spans="5:5">
      <c r="E167" t="str">
        <f t="shared" si="23"/>
        <v/>
      </c>
    </row>
    <row r="168" spans="5:5">
      <c r="E168" t="str">
        <f t="shared" si="23"/>
        <v/>
      </c>
    </row>
    <row r="169" spans="5:5">
      <c r="E169" t="str">
        <f t="shared" si="23"/>
        <v/>
      </c>
    </row>
    <row r="170" spans="5:5">
      <c r="E170" t="str">
        <f t="shared" si="23"/>
        <v/>
      </c>
    </row>
    <row r="171" spans="5:5">
      <c r="E171" t="str">
        <f t="shared" si="23"/>
        <v/>
      </c>
    </row>
    <row r="172" spans="5:5">
      <c r="E172" t="str">
        <f t="shared" si="23"/>
        <v/>
      </c>
    </row>
    <row r="173" spans="5:5">
      <c r="E173" t="str">
        <f t="shared" si="23"/>
        <v/>
      </c>
    </row>
    <row r="174" spans="5:5">
      <c r="E174" t="str">
        <f t="shared" si="23"/>
        <v/>
      </c>
    </row>
    <row r="175" spans="5:5">
      <c r="E175" t="str">
        <f t="shared" si="23"/>
        <v/>
      </c>
    </row>
    <row r="176" spans="5:5">
      <c r="E176" t="str">
        <f t="shared" si="23"/>
        <v/>
      </c>
    </row>
    <row r="177" spans="5:5">
      <c r="E177" t="str">
        <f t="shared" si="23"/>
        <v/>
      </c>
    </row>
    <row r="178" spans="5:5">
      <c r="E178" t="str">
        <f t="shared" si="23"/>
        <v/>
      </c>
    </row>
    <row r="179" spans="5:5">
      <c r="E179" t="str">
        <f t="shared" si="23"/>
        <v/>
      </c>
    </row>
    <row r="180" spans="5:5">
      <c r="E180" t="str">
        <f t="shared" si="23"/>
        <v/>
      </c>
    </row>
    <row r="181" spans="5:5">
      <c r="E181" t="str">
        <f t="shared" si="23"/>
        <v/>
      </c>
    </row>
    <row r="182" spans="5:5">
      <c r="E182" t="str">
        <f t="shared" si="23"/>
        <v/>
      </c>
    </row>
    <row r="183" spans="5:5">
      <c r="E183" t="str">
        <f t="shared" si="23"/>
        <v/>
      </c>
    </row>
    <row r="184" spans="5:5">
      <c r="E184" t="str">
        <f t="shared" si="23"/>
        <v/>
      </c>
    </row>
    <row r="185" spans="5:5">
      <c r="E185" t="str">
        <f t="shared" si="23"/>
        <v/>
      </c>
    </row>
    <row r="186" spans="5:5">
      <c r="E186" t="str">
        <f t="shared" si="23"/>
        <v/>
      </c>
    </row>
    <row r="187" spans="5:5">
      <c r="E187" t="str">
        <f t="shared" si="23"/>
        <v/>
      </c>
    </row>
    <row r="188" spans="5:5">
      <c r="E188" t="str">
        <f t="shared" si="23"/>
        <v/>
      </c>
    </row>
    <row r="189" spans="5:5">
      <c r="E189" t="str">
        <f t="shared" si="23"/>
        <v/>
      </c>
    </row>
    <row r="190" spans="5:5">
      <c r="E190" t="str">
        <f t="shared" si="23"/>
        <v/>
      </c>
    </row>
    <row r="191" spans="5:5">
      <c r="E191" t="str">
        <f t="shared" si="23"/>
        <v/>
      </c>
    </row>
    <row r="192" spans="5:5">
      <c r="E192" t="str">
        <f t="shared" si="23"/>
        <v/>
      </c>
    </row>
    <row r="193" spans="5:5">
      <c r="E193" t="str">
        <f t="shared" si="23"/>
        <v/>
      </c>
    </row>
    <row r="194" spans="5:5">
      <c r="E194" t="str">
        <f t="shared" si="23"/>
        <v/>
      </c>
    </row>
    <row r="195" spans="5:5">
      <c r="E195" t="str">
        <f t="shared" si="23"/>
        <v/>
      </c>
    </row>
    <row r="196" spans="5:5">
      <c r="E196" t="str">
        <f t="shared" si="23"/>
        <v/>
      </c>
    </row>
    <row r="197" spans="5:5">
      <c r="E197" t="str">
        <f t="shared" si="23"/>
        <v/>
      </c>
    </row>
    <row r="198" spans="5:5">
      <c r="E198" t="str">
        <f t="shared" si="23"/>
        <v/>
      </c>
    </row>
    <row r="199" spans="5:5">
      <c r="E199" t="str">
        <f t="shared" si="23"/>
        <v/>
      </c>
    </row>
    <row r="200" spans="5:5">
      <c r="E200" t="str">
        <f t="shared" si="23"/>
        <v/>
      </c>
    </row>
    <row r="201" spans="5:5">
      <c r="E201" t="str">
        <f t="shared" si="23"/>
        <v/>
      </c>
    </row>
    <row r="202" spans="5:5">
      <c r="E202" t="str">
        <f t="shared" si="23"/>
        <v/>
      </c>
    </row>
    <row r="203" spans="5:5">
      <c r="E203" t="str">
        <f t="shared" si="23"/>
        <v/>
      </c>
    </row>
    <row r="204" spans="5:5">
      <c r="E204" t="str">
        <f t="shared" si="23"/>
        <v/>
      </c>
    </row>
    <row r="205" spans="5:5">
      <c r="E205" t="str">
        <f t="shared" si="23"/>
        <v/>
      </c>
    </row>
    <row r="206" spans="5:5">
      <c r="E206" t="str">
        <f t="shared" si="23"/>
        <v/>
      </c>
    </row>
    <row r="207" spans="5:5">
      <c r="E207" t="str">
        <f t="shared" si="23"/>
        <v/>
      </c>
    </row>
    <row r="208" spans="5:5">
      <c r="E208" t="str">
        <f t="shared" si="23"/>
        <v/>
      </c>
    </row>
    <row r="209" spans="5:5">
      <c r="E209" t="str">
        <f t="shared" si="23"/>
        <v/>
      </c>
    </row>
    <row r="210" spans="5:5">
      <c r="E210" t="str">
        <f t="shared" si="23"/>
        <v/>
      </c>
    </row>
    <row r="211" spans="5:5">
      <c r="E211" t="str">
        <f t="shared" si="23"/>
        <v/>
      </c>
    </row>
    <row r="212" spans="5:5">
      <c r="E212" t="str">
        <f t="shared" si="23"/>
        <v/>
      </c>
    </row>
    <row r="213" spans="5:5">
      <c r="E213" t="str">
        <f t="shared" si="23"/>
        <v/>
      </c>
    </row>
    <row r="214" spans="5:5">
      <c r="E214" t="str">
        <f t="shared" si="23"/>
        <v/>
      </c>
    </row>
    <row r="215" spans="5:5">
      <c r="E215" t="str">
        <f t="shared" si="23"/>
        <v/>
      </c>
    </row>
    <row r="216" spans="5:5">
      <c r="E216" t="str">
        <f t="shared" si="23"/>
        <v/>
      </c>
    </row>
    <row r="217" spans="5:5">
      <c r="E217" t="str">
        <f t="shared" si="23"/>
        <v/>
      </c>
    </row>
    <row r="218" spans="5:5">
      <c r="E218" t="str">
        <f t="shared" si="23"/>
        <v/>
      </c>
    </row>
    <row r="219" spans="5:5">
      <c r="E219" t="str">
        <f t="shared" si="23"/>
        <v/>
      </c>
    </row>
    <row r="220" spans="5:5">
      <c r="E220" t="str">
        <f t="shared" si="23"/>
        <v/>
      </c>
    </row>
    <row r="221" spans="5:5">
      <c r="E221" t="str">
        <f t="shared" si="23"/>
        <v/>
      </c>
    </row>
    <row r="222" spans="5:5">
      <c r="E222" t="str">
        <f t="shared" si="23"/>
        <v/>
      </c>
    </row>
    <row r="223" spans="5:5">
      <c r="E223" t="str">
        <f t="shared" si="23"/>
        <v/>
      </c>
    </row>
    <row r="224" spans="5:5">
      <c r="E224" t="str">
        <f t="shared" si="23"/>
        <v/>
      </c>
    </row>
    <row r="225" spans="5:5">
      <c r="E225" t="str">
        <f t="shared" si="23"/>
        <v/>
      </c>
    </row>
    <row r="226" spans="5:5">
      <c r="E226" t="str">
        <f t="shared" si="23"/>
        <v/>
      </c>
    </row>
    <row r="227" spans="5:5">
      <c r="E227" t="str">
        <f t="shared" si="23"/>
        <v/>
      </c>
    </row>
    <row r="228" spans="5:5">
      <c r="E228" t="str">
        <f t="shared" ref="E228" si="24">MID(C228,3,20)</f>
        <v/>
      </c>
    </row>
  </sheetData>
  <mergeCells count="7">
    <mergeCell ref="R1:W1"/>
    <mergeCell ref="X1:AB1"/>
    <mergeCell ref="C30:D30"/>
    <mergeCell ref="C31:D31"/>
    <mergeCell ref="C23:D23"/>
    <mergeCell ref="C24:D24"/>
    <mergeCell ref="C29:E29"/>
  </mergeCells>
  <conditionalFormatting sqref="F23">
    <cfRule type="cellIs" dxfId="18" priority="1" operator="greaterThan">
      <formula>0.01</formula>
    </cfRule>
    <cfRule type="cellIs" dxfId="17" priority="2" operator="lessThan">
      <formula>0.002</formula>
    </cfRule>
    <cfRule type="cellIs" dxfId="16" priority="3" operator="greaterThan">
      <formula>0.02</formula>
    </cfRule>
    <cfRule type="cellIs" dxfId="15" priority="4" operator="greaterThan">
      <formula>1</formula>
    </cfRule>
  </conditionalFormatting>
  <conditionalFormatting sqref="F24">
    <cfRule type="expression" dxfId="14" priority="5">
      <formula>$E$19=""</formula>
    </cfRule>
    <cfRule type="cellIs" dxfId="13" priority="6" operator="lessThan">
      <formula>0.004</formula>
    </cfRule>
    <cfRule type="cellIs" dxfId="12" priority="7" operator="greaterThan">
      <formula>0.02</formula>
    </cfRule>
  </conditionalFormatting>
  <conditionalFormatting sqref="F30">
    <cfRule type="cellIs" dxfId="11" priority="13" operator="greaterThan">
      <formula>0.01</formula>
    </cfRule>
    <cfRule type="cellIs" dxfId="10" priority="15" operator="lessThan">
      <formula>0.002</formula>
    </cfRule>
    <cfRule type="cellIs" dxfId="9" priority="17" operator="greaterThan">
      <formula>1</formula>
    </cfRule>
  </conditionalFormatting>
  <conditionalFormatting sqref="F30:F31">
    <cfRule type="cellIs" dxfId="8" priority="16" operator="greaterThan">
      <formula>0.02</formula>
    </cfRule>
  </conditionalFormatting>
  <conditionalFormatting sqref="F31">
    <cfRule type="expression" dxfId="7" priority="12">
      <formula>$E$19=""</formula>
    </cfRule>
    <cfRule type="cellIs" dxfId="6" priority="14" operator="lessThan">
      <formula>0.004</formula>
    </cfRule>
  </conditionalFormatting>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E683-9D83-4AE2-9F54-D14D76F9EEBB}">
  <dimension ref="A1:V246"/>
  <sheetViews>
    <sheetView zoomScale="130" zoomScaleNormal="130" workbookViewId="0"/>
  </sheetViews>
  <sheetFormatPr defaultRowHeight="15"/>
  <cols>
    <col min="1" max="1" width="22.140625" customWidth="1"/>
    <col min="2" max="2" width="13" customWidth="1"/>
    <col min="3" max="3" width="14" customWidth="1"/>
    <col min="4" max="4" width="12.7109375" customWidth="1"/>
    <col min="5" max="5" width="12.5703125" customWidth="1"/>
    <col min="8" max="8" width="64.7109375" customWidth="1"/>
    <col min="11" max="11" width="12.5703125" bestFit="1" customWidth="1"/>
    <col min="13" max="13" width="10.5703125" bestFit="1" customWidth="1"/>
    <col min="14" max="14" width="42.5703125" customWidth="1"/>
    <col min="15" max="15" width="11" customWidth="1"/>
    <col min="17" max="17" width="25" style="175" customWidth="1"/>
    <col min="18" max="18" width="12.85546875" style="175" customWidth="1"/>
    <col min="19" max="20" width="9.140625" style="175"/>
    <col min="21" max="21" width="12.7109375" style="175" bestFit="1" customWidth="1"/>
    <col min="22" max="22" width="9.140625" style="175"/>
  </cols>
  <sheetData>
    <row r="1" spans="1:22" ht="32.25" thickBot="1">
      <c r="B1" s="270" t="s">
        <v>5849</v>
      </c>
      <c r="C1" s="21"/>
      <c r="D1" s="21"/>
      <c r="E1" s="21"/>
      <c r="F1" s="21"/>
      <c r="G1" s="21"/>
      <c r="H1" s="21"/>
      <c r="Q1" t="s">
        <v>5848</v>
      </c>
    </row>
    <row r="2" spans="1:22">
      <c r="G2" s="1"/>
      <c r="H2" s="2"/>
      <c r="I2" s="2"/>
      <c r="J2" s="2"/>
      <c r="K2" s="2"/>
      <c r="L2" s="2"/>
      <c r="M2" s="2"/>
      <c r="N2" s="2"/>
      <c r="O2" s="5"/>
      <c r="Q2" s="242" t="s">
        <v>5619</v>
      </c>
      <c r="R2" s="242" t="str">
        <f>IF(B3="","A",B3)</f>
        <v>A</v>
      </c>
      <c r="S2" s="242"/>
      <c r="T2" s="242"/>
      <c r="U2" s="242"/>
      <c r="V2" s="242"/>
    </row>
    <row r="3" spans="1:22">
      <c r="A3" s="10" t="s">
        <v>5618</v>
      </c>
      <c r="B3" s="168"/>
      <c r="G3" s="7"/>
      <c r="O3" s="9"/>
      <c r="Q3" s="242" t="s">
        <v>5621</v>
      </c>
      <c r="R3" s="242" t="str">
        <f>IF(B4="","M",B4)</f>
        <v>M</v>
      </c>
      <c r="S3" s="242"/>
      <c r="T3" s="242"/>
      <c r="U3" s="242"/>
      <c r="V3" s="242"/>
    </row>
    <row r="4" spans="1:22" ht="21">
      <c r="A4" s="10" t="s">
        <v>5620</v>
      </c>
      <c r="B4" s="168"/>
      <c r="G4" s="7"/>
      <c r="J4" s="169" t="str">
        <f>R6&amp;" vs tid  -   0. ordens reaktion"</f>
        <v>[A] vs tid  -   0. ordens reaktion</v>
      </c>
      <c r="K4" s="170"/>
      <c r="L4" s="170"/>
      <c r="O4" s="9"/>
      <c r="Q4" s="242" t="s">
        <v>5624</v>
      </c>
      <c r="R4" s="242" t="str">
        <f>IF(B5="","s",B5)</f>
        <v>s</v>
      </c>
      <c r="S4" s="242"/>
      <c r="T4" s="242"/>
      <c r="U4" s="242"/>
      <c r="V4" s="242"/>
    </row>
    <row r="5" spans="1:22">
      <c r="A5" s="10" t="s">
        <v>5622</v>
      </c>
      <c r="B5" s="168"/>
      <c r="G5" s="7"/>
      <c r="J5" t="s">
        <v>5623</v>
      </c>
      <c r="K5" t="e">
        <f>CORREL(Table1[[#All],['[A'] / M]],Table1[[#All],[t / s]])^2</f>
        <v>#DIV/0!</v>
      </c>
      <c r="O5" s="9"/>
      <c r="Q5" s="242" t="s">
        <v>5625</v>
      </c>
      <c r="R5" s="242">
        <f>IF(B6="",4,IF(B6&lt;2,2,IF(NOT(ISNUMBER(B6)),4,IF(B6&gt;7,7,B6))))</f>
        <v>3</v>
      </c>
      <c r="S5" s="242"/>
      <c r="T5" s="242"/>
      <c r="U5" s="242"/>
      <c r="V5" s="242"/>
    </row>
    <row r="6" spans="1:22">
      <c r="A6" s="10" t="s">
        <v>8</v>
      </c>
      <c r="B6" s="168">
        <v>3</v>
      </c>
      <c r="G6" s="7"/>
      <c r="N6" t="str">
        <f>"Afrundet til "&amp;$R$5&amp;" betydende cifre:"</f>
        <v>Afrundet til 3 betydende cifre:</v>
      </c>
      <c r="O6" s="9"/>
      <c r="Q6" s="242" t="s">
        <v>5627</v>
      </c>
      <c r="R6" s="242" t="str">
        <f>IF(R3="bar","p("&amp;R2&amp;")","["&amp;R2&amp;"]")</f>
        <v>[A]</v>
      </c>
      <c r="S6" s="242"/>
      <c r="T6" s="242"/>
      <c r="U6" s="242"/>
      <c r="V6" s="242"/>
    </row>
    <row r="7" spans="1:22">
      <c r="G7" s="7"/>
      <c r="J7" t="s">
        <v>5626</v>
      </c>
      <c r="K7" t="e">
        <f>-SLOPE(Table1[[#All],['[A'] / M]],Table1[[#All],[t / s]])</f>
        <v>#DIV/0!</v>
      </c>
      <c r="L7" t="str">
        <f>$R$3&amp;"/"&amp;$R$4</f>
        <v>M/s</v>
      </c>
      <c r="N7" t="str">
        <f>S8&amp;" "&amp;L7</f>
        <v xml:space="preserve"> M/s</v>
      </c>
      <c r="O7" s="9"/>
      <c r="Q7" s="242"/>
      <c r="R7" s="242"/>
      <c r="S7" s="242"/>
      <c r="T7" s="242"/>
      <c r="U7" s="242"/>
      <c r="V7" s="242"/>
    </row>
    <row r="8" spans="1:22">
      <c r="A8" t="s">
        <v>5735</v>
      </c>
      <c r="G8" s="7"/>
      <c r="J8" t="str">
        <f>$R$6&amp;"₀"</f>
        <v>[A]₀</v>
      </c>
      <c r="K8" t="e">
        <f>INTERCEPT(Table1[[#All],['[A'] / M]],Table1[[#All],[t / s]])</f>
        <v>#DIV/0!</v>
      </c>
      <c r="L8" t="str">
        <f>$R$3</f>
        <v>M</v>
      </c>
      <c r="N8" t="str">
        <f>S9&amp;" "&amp;L8</f>
        <v xml:space="preserve"> M</v>
      </c>
      <c r="O8" s="9"/>
      <c r="Q8" s="242"/>
      <c r="R8" s="242" t="str">
        <f>IFERROR(IF(
    OR(ABS(K7)&lt;0.001,ABS(K7)&gt;MIN(10^($R$5)-1,9999)),
    TEXT(K7, "0," &amp; REPT("0", $R$5-1) &amp; "E+00"),
    IF(K7="","",
IF(INT(LOG10(ABS(K7)))+1=$R$5,TEXT(K7,"0"),
TEXT(IF(K7&lt;0,"-","")&amp;LEFT(TEXT(ABS(K7),"0,"&amp;REPT("0",$R$5-1)&amp;"E+00"),$R$5+1)*10^FLOOR(LOG10(TEXT(ABS(K7),"0,"&amp;REPT("0",$R$5-1)&amp;"E+00")),1),(""&amp;(IF(OR(AND(FLOOR(LOG10(TEXT(ABS(K7),"0,"&amp;REPT("0",$R$5-1)&amp;"E+00")),1)+1=$R$5,RIGHT(LEFT(TEXT(ABS(K7),"0,"&amp;REPT("0",$R$5-1)&amp;"E+00"),$R$5+1)*10^FLOOR(LOG10(TEXT(ABS(K7),"0,"&amp;REPT("0",$R$5-1)&amp;"E+00")),1),1)="0"),LOG10(TEXT(ABS(K7),"0,"&amp;REPT("0",$R$5-1)&amp;"E+00"))&lt;=$R$5-1),"0,","#")&amp;REPT("0",IF($R$5-1-(FLOOR(LOG10(TEXT(ABS(K7),"0,"&amp;REPT("0",$R$5-1)&amp;"E+00")),1))&gt;0,$R$5-1-(FLOOR(LOG10(TEXT(ABS(K7),"0,"&amp;REPT("0",$R$5-1)&amp;"E+00")),1)),0))))))
)),"")</f>
        <v/>
      </c>
      <c r="S8"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8,$U$11,$V$11),$U$12,$V$12),$U$13,$V$13),$U$14,$V$14),$U$15,$V$15),$U$16,$V$16),$U$17,$V$17),$U$18,$V$18),$U$19,$V$19),$U$20,$V$20),$U$21,$V$21),$U$22,$V$22),$U$23,$V$23),$U$24,$V$24),$U$25,$V$25),$U$26,$V$26),$U$27,$V$27),$U$28,$V$28),$U$29,$V$29),$U$30,$V$30),$U$31,$V$31),$U$32,$V$32),$U$33,$V$33),$U$34,$V$34),$U$35,$V$35),$U$36,$V$36),$U$37,$V$37),$U$38,$V$38),
$U$39,$V$39),$U$40,$V$40),$U$41,$V$41),$U$42,$V$42),$U$43,$V$43),$U$44,$V$44),$U$45,$V$45),$U$46,$V$46),$U$47,$V$47),$U$48,$V$48),$U$49,$V$49),$U$50,$V$50)</f>
        <v/>
      </c>
      <c r="T8" s="242"/>
      <c r="U8" s="242"/>
      <c r="V8" s="242"/>
    </row>
    <row r="9" spans="1:22">
      <c r="B9" s="171" t="str">
        <f>"t / "&amp;R4</f>
        <v>t / s</v>
      </c>
      <c r="C9" s="171" t="str">
        <f>R6&amp;" / "&amp;R3&amp;""</f>
        <v>[A] / M</v>
      </c>
      <c r="D9" s="10" t="str">
        <f>"ln("&amp;R6&amp;")"</f>
        <v>ln([A])</v>
      </c>
      <c r="E9" s="10" t="str">
        <f>"1/"&amp;R6&amp;" / "&amp;R3&amp;"⁻¹"</f>
        <v>1/[A] / M⁻¹</v>
      </c>
      <c r="G9" s="7"/>
      <c r="J9" t="str">
        <f>"T-halv ="</f>
        <v>T-halv =</v>
      </c>
      <c r="K9" t="e">
        <f xml:space="preserve"> K8/(2*K7)</f>
        <v>#DIV/0!</v>
      </c>
      <c r="L9" t="str">
        <f>$R$4</f>
        <v>s</v>
      </c>
      <c r="N9" t="str">
        <f>S10&amp;" "&amp;L9</f>
        <v xml:space="preserve"> s</v>
      </c>
      <c r="O9" s="9"/>
      <c r="Q9" s="242"/>
      <c r="R9" s="242" t="str">
        <f>IFERROR(IF(
    OR(ABS(K8)&lt;0.001,ABS(K8)&gt;MIN(10^($R$5)-1,9999)),
    TEXT(K8, "0," &amp; REPT("0", $R$5-1) &amp; "E+00"),
    IF(K8="","",
IF(INT(LOG10(ABS(K8)))+1=$R$5,TEXT(K8,"0"),
TEXT(IF(K8&lt;0,"-","")&amp;LEFT(TEXT(ABS(K8),"0,"&amp;REPT("0",$R$5-1)&amp;"E+00"),$R$5+1)*10^FLOOR(LOG10(TEXT(ABS(K8),"0,"&amp;REPT("0",$R$5-1)&amp;"E+00")),1),(""&amp;(IF(OR(AND(FLOOR(LOG10(TEXT(ABS(K8),"0,"&amp;REPT("0",$R$5-1)&amp;"E+00")),1)+1=$R$5,RIGHT(LEFT(TEXT(ABS(K8),"0,"&amp;REPT("0",$R$5-1)&amp;"E+00"),$R$5+1)*10^FLOOR(LOG10(TEXT(ABS(K8),"0,"&amp;REPT("0",$R$5-1)&amp;"E+00")),1),1)="0"),LOG10(TEXT(ABS(K8),"0,"&amp;REPT("0",$R$5-1)&amp;"E+00"))&lt;=$R$5-1),"0,","#")&amp;REPT("0",IF($R$5-1-(FLOOR(LOG10(TEXT(ABS(K8),"0,"&amp;REPT("0",$R$5-1)&amp;"E+00")),1))&gt;0,$R$5-1-(FLOOR(LOG10(TEXT(ABS(K8),"0,"&amp;REPT("0",$R$5-1)&amp;"E+00")),1)),0))))))
)),"")</f>
        <v/>
      </c>
      <c r="S9"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9,$U$11,$V$11),$U$12,$V$12),$U$13,$V$13),$U$14,$V$14),$U$15,$V$15),$U$16,$V$16),$U$17,$V$17),$U$18,$V$18),$U$19,$V$19),$U$20,$V$20),$U$21,$V$21),$U$22,$V$22),$U$23,$V$23),$U$24,$V$24),$U$25,$V$25),$U$26,$V$26),$U$27,$V$27),$U$28,$V$28),$U$29,$V$29),$U$30,$V$30),$U$31,$V$31),$U$32,$V$32),$U$33,$V$33),$U$34,$V$34),$U$35,$V$35),$U$36,$V$36),$U$37,$V$37),$U$38,$V$38),
$U$39,$V$39),$U$40,$V$40),$U$41,$V$41),$U$42,$V$42),$U$43,$V$43),$U$44,$V$44),$U$45,$V$45),$U$46,$V$46),$U$47,$V$47),$U$48,$V$48),$U$49,$V$49),$U$50,$V$50)</f>
        <v/>
      </c>
      <c r="T9" s="242"/>
      <c r="U9" s="242"/>
      <c r="V9" s="242"/>
    </row>
    <row r="10" spans="1:22">
      <c r="B10" s="227"/>
      <c r="C10" s="227"/>
      <c r="D10" s="10" t="str">
        <f>IF(Table1[[#This Row],['[A'] / M]]="","",LN(Table1[[#This Row],['[A'] / M]]))</f>
        <v/>
      </c>
      <c r="E10" s="10" t="str">
        <f>IF(Table1[[#This Row],['[A'] / M]]="","",1/Table1[[#This Row],['[A'] / M]])</f>
        <v/>
      </c>
      <c r="G10" s="7"/>
      <c r="O10" s="9"/>
      <c r="Q10" s="242"/>
      <c r="R10" s="242" t="str">
        <f>IFERROR(IF(
    OR(ABS(K9)&lt;0.001,ABS(K9)&gt;MIN(10^($R$5)-1,9999)),
    TEXT(K9, "0," &amp; REPT("0", $R$5-1) &amp; "E+00"),
    IF(K9="","",
IF(INT(LOG10(ABS(K9)))+1=$R$5,TEXT(K9,"0"),
TEXT(IF(K9&lt;0,"-","")&amp;LEFT(TEXT(ABS(K9),"0,"&amp;REPT("0",$R$5-1)&amp;"E+00"),$R$5+1)*10^FLOOR(LOG10(TEXT(ABS(K9),"0,"&amp;REPT("0",$R$5-1)&amp;"E+00")),1),(""&amp;(IF(OR(AND(FLOOR(LOG10(TEXT(ABS(K9),"0,"&amp;REPT("0",$R$5-1)&amp;"E+00")),1)+1=$R$5,RIGHT(LEFT(TEXT(ABS(K9),"0,"&amp;REPT("0",$R$5-1)&amp;"E+00"),$R$5+1)*10^FLOOR(LOG10(TEXT(ABS(K9),"0,"&amp;REPT("0",$R$5-1)&amp;"E+00")),1),1)="0"),LOG10(TEXT(ABS(K9),"0,"&amp;REPT("0",$R$5-1)&amp;"E+00"))&lt;=$R$5-1),"0,","#")&amp;REPT("0",IF($R$5-1-(FLOOR(LOG10(TEXT(ABS(K9),"0,"&amp;REPT("0",$R$5-1)&amp;"E+00")),1))&gt;0,$R$5-1-(FLOOR(LOG10(TEXT(ABS(K9),"0,"&amp;REPT("0",$R$5-1)&amp;"E+00")),1)),0))))))
)),"")</f>
        <v/>
      </c>
      <c r="S10"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10,$U$11,$V$11),$U$12,$V$12),$U$13,$V$13),$U$14,$V$14),$U$15,$V$15),$U$16,$V$16),$U$17,$V$17),$U$18,$V$18),$U$19,$V$19),$U$20,$V$20),$U$21,$V$21),$U$22,$V$22),$U$23,$V$23),$U$24,$V$24),$U$25,$V$25),$U$26,$V$26),$U$27,$V$27),$U$28,$V$28),$U$29,$V$29),$U$30,$V$30),$U$31,$V$31),$U$32,$V$32),$U$33,$V$33),$U$34,$V$34),$U$35,$V$35),$U$36,$V$36),$U$37,$V$37),$U$38,$V$38),
$U$39,$V$39),$U$40,$V$40),$U$41,$V$41),$U$42,$V$42),$U$43,$V$43),$U$44,$V$44),$U$45,$V$45),$U$46,$V$46),$U$47,$V$47),$U$48,$V$48),$U$49,$V$49),$U$50,$V$50)</f>
        <v/>
      </c>
      <c r="T10" s="242"/>
      <c r="U10" s="242"/>
      <c r="V10" s="242"/>
    </row>
    <row r="11" spans="1:22">
      <c r="B11" s="227"/>
      <c r="C11" s="227"/>
      <c r="D11" s="10" t="str">
        <f>IF(Table1[[#This Row],['[A'] / M]]="","",LN(Table1[[#This Row],['[A'] / M]]))</f>
        <v/>
      </c>
      <c r="E11" s="10" t="str">
        <f>IF(Table1[[#This Row],['[A'] / M]]="","",1/Table1[[#This Row],['[A'] / M]])</f>
        <v/>
      </c>
      <c r="G11" s="7"/>
      <c r="J11" t="str">
        <f>"Funktionsudstryk med "&amp;$R$5&amp;" betydende cifre:"</f>
        <v>Funktionsudstryk med 3 betydende cifre:</v>
      </c>
      <c r="O11" s="9"/>
      <c r="Q11" s="242"/>
      <c r="R11" s="242"/>
      <c r="S11" s="242"/>
      <c r="T11" s="242"/>
      <c r="U11" s="242" t="s">
        <v>5694</v>
      </c>
      <c r="V11" s="242" t="s">
        <v>5736</v>
      </c>
    </row>
    <row r="12" spans="1:22">
      <c r="B12" s="227"/>
      <c r="C12" s="227"/>
      <c r="D12" s="10" t="str">
        <f>IF(Table1[[#This Row],['[A'] / M]]="","",LN(Table1[[#This Row],['[A'] / M]]))</f>
        <v/>
      </c>
      <c r="E12" s="10" t="str">
        <f>IF(Table1[[#This Row],['[A'] / M]]="","",1/Table1[[#This Row],['[A'] / M]])</f>
        <v/>
      </c>
      <c r="G12" s="7"/>
      <c r="J12" t="str">
        <f>$R$6&amp;" = "&amp;N7&amp;" ∙ t  + "&amp;N8</f>
        <v>[A] =  M/s ∙ t  +  M</v>
      </c>
      <c r="O12" s="9"/>
      <c r="Q12" s="242"/>
      <c r="R12" s="242"/>
      <c r="S12" s="242"/>
      <c r="T12" s="242"/>
      <c r="U12" s="242" t="s">
        <v>5695</v>
      </c>
      <c r="V12" s="242" t="s">
        <v>5737</v>
      </c>
    </row>
    <row r="13" spans="1:22">
      <c r="B13" s="227"/>
      <c r="C13" s="227"/>
      <c r="D13" s="10" t="str">
        <f>IF(Table1[[#This Row],['[A'] / M]]="","",LN(Table1[[#This Row],['[A'] / M]]))</f>
        <v/>
      </c>
      <c r="E13" s="10" t="str">
        <f>IF(Table1[[#This Row],['[A'] / M]]="","",1/Table1[[#This Row],['[A'] / M]])</f>
        <v/>
      </c>
      <c r="G13" s="7"/>
      <c r="O13" s="9"/>
      <c r="Q13" s="242"/>
      <c r="R13" s="242"/>
      <c r="S13" s="242"/>
      <c r="T13" s="242"/>
      <c r="U13" s="242" t="s">
        <v>5696</v>
      </c>
      <c r="V13" s="242" t="s">
        <v>5738</v>
      </c>
    </row>
    <row r="14" spans="1:22">
      <c r="B14" s="227"/>
      <c r="C14" s="227"/>
      <c r="D14" s="10" t="str">
        <f>IF(Table1[[#This Row],['[A'] / M]]="","",LN(Table1[[#This Row],['[A'] / M]]))</f>
        <v/>
      </c>
      <c r="E14" s="10" t="str">
        <f>IF(Table1[[#This Row],['[A'] / M]]="","",1/Table1[[#This Row],['[A'] / M]])</f>
        <v/>
      </c>
      <c r="G14" s="7"/>
      <c r="O14" s="9"/>
      <c r="Q14" s="242"/>
      <c r="R14" s="242"/>
      <c r="S14" s="242"/>
      <c r="T14" s="242"/>
      <c r="U14" s="242" t="s">
        <v>5697</v>
      </c>
      <c r="V14" s="242" t="s">
        <v>5739</v>
      </c>
    </row>
    <row r="15" spans="1:22">
      <c r="B15" s="227"/>
      <c r="C15" s="227"/>
      <c r="D15" s="10" t="str">
        <f>IF(Table1[[#This Row],['[A'] / M]]="","",LN(Table1[[#This Row],['[A'] / M]]))</f>
        <v/>
      </c>
      <c r="E15" s="10" t="str">
        <f>IF(Table1[[#This Row],['[A'] / M]]="","",1/Table1[[#This Row],['[A'] / M]])</f>
        <v/>
      </c>
      <c r="G15" s="7"/>
      <c r="O15" s="9"/>
      <c r="Q15" s="242"/>
      <c r="R15" s="242"/>
      <c r="S15" s="242"/>
      <c r="T15" s="242"/>
      <c r="U15" s="242" t="s">
        <v>5698</v>
      </c>
      <c r="V15" s="242" t="s">
        <v>5740</v>
      </c>
    </row>
    <row r="16" spans="1:22">
      <c r="B16" s="227"/>
      <c r="C16" s="227"/>
      <c r="D16" s="10" t="str">
        <f>IF(Table1[[#This Row],['[A'] / M]]="","",LN(Table1[[#This Row],['[A'] / M]]))</f>
        <v/>
      </c>
      <c r="E16" s="10" t="str">
        <f>IF(Table1[[#This Row],['[A'] / M]]="","",1/Table1[[#This Row],['[A'] / M]])</f>
        <v/>
      </c>
      <c r="G16" s="7"/>
      <c r="O16" s="9"/>
      <c r="Q16" s="242"/>
      <c r="R16" s="242"/>
      <c r="S16" s="242"/>
      <c r="T16" s="242"/>
      <c r="U16" s="242" t="s">
        <v>5699</v>
      </c>
      <c r="V16" s="242" t="s">
        <v>5741</v>
      </c>
    </row>
    <row r="17" spans="2:22">
      <c r="B17" s="227"/>
      <c r="C17" s="227"/>
      <c r="D17" s="10" t="str">
        <f>IF(Table1[[#This Row],['[A'] / M]]="","",LN(Table1[[#This Row],['[A'] / M]]))</f>
        <v/>
      </c>
      <c r="E17" s="10" t="str">
        <f>IF(Table1[[#This Row],['[A'] / M]]="","",1/Table1[[#This Row],['[A'] / M]])</f>
        <v/>
      </c>
      <c r="G17" s="7"/>
      <c r="O17" s="9"/>
      <c r="Q17" s="242"/>
      <c r="R17" s="242"/>
      <c r="S17" s="242"/>
      <c r="T17" s="242"/>
      <c r="U17" s="242" t="s">
        <v>5700</v>
      </c>
      <c r="V17" s="242" t="s">
        <v>5742</v>
      </c>
    </row>
    <row r="18" spans="2:22" ht="15.75" thickBot="1">
      <c r="B18" s="227"/>
      <c r="C18" s="227"/>
      <c r="D18" s="10" t="str">
        <f>IF(Table1[[#This Row],['[A'] / M]]="","",LN(Table1[[#This Row],['[A'] / M]]))</f>
        <v/>
      </c>
      <c r="E18" s="10" t="str">
        <f>IF(Table1[[#This Row],['[A'] / M]]="","",1/Table1[[#This Row],['[A'] / M]])</f>
        <v/>
      </c>
      <c r="G18" s="71"/>
      <c r="H18" s="68"/>
      <c r="I18" s="68"/>
      <c r="J18" s="68"/>
      <c r="K18" s="68"/>
      <c r="L18" s="68"/>
      <c r="M18" s="68"/>
      <c r="N18" s="68"/>
      <c r="O18" s="74"/>
      <c r="Q18" s="242"/>
      <c r="R18" s="242"/>
      <c r="S18" s="242"/>
      <c r="T18" s="242"/>
      <c r="U18" s="242" t="s">
        <v>5701</v>
      </c>
      <c r="V18" s="242" t="s">
        <v>5743</v>
      </c>
    </row>
    <row r="19" spans="2:22">
      <c r="B19" s="227"/>
      <c r="C19" s="227"/>
      <c r="D19" s="10" t="str">
        <f>IF(Table1[[#This Row],['[A'] / M]]="","",LN(Table1[[#This Row],['[A'] / M]]))</f>
        <v/>
      </c>
      <c r="E19" s="10" t="str">
        <f>IF(Table1[[#This Row],['[A'] / M]]="","",1/Table1[[#This Row],['[A'] / M]])</f>
        <v/>
      </c>
      <c r="G19" s="1"/>
      <c r="H19" s="2"/>
      <c r="I19" s="2"/>
      <c r="J19" s="2"/>
      <c r="K19" s="2"/>
      <c r="L19" s="2"/>
      <c r="M19" s="2"/>
      <c r="N19" s="2"/>
      <c r="O19" s="5"/>
      <c r="Q19" s="242"/>
      <c r="R19" s="242"/>
      <c r="S19" s="242"/>
      <c r="T19" s="242"/>
      <c r="U19" s="242" t="s">
        <v>5702</v>
      </c>
      <c r="V19" s="242" t="s">
        <v>5744</v>
      </c>
    </row>
    <row r="20" spans="2:22" ht="15.75">
      <c r="B20" s="227"/>
      <c r="C20" s="227"/>
      <c r="D20" s="10" t="str">
        <f>IF(Table1[[#This Row],['[A'] / M]]="","",LN(Table1[[#This Row],['[A'] / M]]))</f>
        <v/>
      </c>
      <c r="E20" s="10" t="str">
        <f>IF(Table1[[#This Row],['[A'] / M]]="","",1/Table1[[#This Row],['[A'] / M]])</f>
        <v/>
      </c>
      <c r="G20" s="7"/>
      <c r="J20" s="169" t="str">
        <f>"ln("&amp;R6&amp;") vs tid  -   1. ordens reaktion"</f>
        <v>ln([A]) vs tid  -   1. ordens reaktion</v>
      </c>
      <c r="K20" s="173"/>
      <c r="O20" s="9"/>
      <c r="Q20" s="242"/>
      <c r="R20" s="242"/>
      <c r="S20" s="242"/>
      <c r="T20" s="242"/>
      <c r="U20" s="242" t="s">
        <v>5703</v>
      </c>
      <c r="V20" s="242" t="s">
        <v>5745</v>
      </c>
    </row>
    <row r="21" spans="2:22">
      <c r="B21" s="227"/>
      <c r="C21" s="227"/>
      <c r="D21" s="10" t="str">
        <f>IF(Table1[[#This Row],['[A'] / M]]="","",LN(Table1[[#This Row],['[A'] / M]]))</f>
        <v/>
      </c>
      <c r="E21" s="10" t="str">
        <f>IF(Table1[[#This Row],['[A'] / M]]="","",1/Table1[[#This Row],['[A'] / M]])</f>
        <v/>
      </c>
      <c r="G21" s="7"/>
      <c r="J21" t="s">
        <v>5623</v>
      </c>
      <c r="K21" t="e">
        <f>CORREL(Table1[[#All],[ln '[A']]],Table1[[#All],[t / s]])^2</f>
        <v>#DIV/0!</v>
      </c>
      <c r="O21" s="9"/>
      <c r="Q21" s="242"/>
      <c r="R21" s="242"/>
      <c r="S21" s="242"/>
      <c r="T21" s="242"/>
      <c r="U21" s="242" t="s">
        <v>5704</v>
      </c>
      <c r="V21" s="242" t="s">
        <v>5746</v>
      </c>
    </row>
    <row r="22" spans="2:22">
      <c r="B22" s="227"/>
      <c r="C22" s="227"/>
      <c r="D22" s="10" t="str">
        <f>IF(Table1[[#This Row],['[A'] / M]]="","",LN(Table1[[#This Row],['[A'] / M]]))</f>
        <v/>
      </c>
      <c r="E22" s="10" t="str">
        <f>IF(Table1[[#This Row],['[A'] / M]]="","",1/Table1[[#This Row],['[A'] / M]])</f>
        <v/>
      </c>
      <c r="G22" s="7"/>
      <c r="N22" t="str">
        <f>"Afrundet til "&amp;$R$5&amp;" betydende cifre:"</f>
        <v>Afrundet til 3 betydende cifre:</v>
      </c>
      <c r="O22" s="9"/>
      <c r="Q22" s="242"/>
      <c r="R22" s="242"/>
      <c r="S22" s="242"/>
      <c r="T22" s="242"/>
      <c r="U22" s="242" t="s">
        <v>5705</v>
      </c>
      <c r="V22" s="242" t="s">
        <v>5747</v>
      </c>
    </row>
    <row r="23" spans="2:22">
      <c r="B23" s="227"/>
      <c r="C23" s="227"/>
      <c r="D23" s="10" t="str">
        <f>IF(Table1[[#This Row],['[A'] / M]]="","",LN(Table1[[#This Row],['[A'] / M]]))</f>
        <v/>
      </c>
      <c r="E23" s="10" t="str">
        <f>IF(Table1[[#This Row],['[A'] / M]]="","",1/Table1[[#This Row],['[A'] / M]])</f>
        <v/>
      </c>
      <c r="G23" s="7"/>
      <c r="J23" t="s">
        <v>5626</v>
      </c>
      <c r="K23" t="e">
        <f>-SLOPE(Table1[[#All],[ln '[A']]],Table1[[#All],[t / s]])</f>
        <v>#DIV/0!</v>
      </c>
      <c r="L23" t="str">
        <f>R4&amp;"⁻¹"</f>
        <v>s⁻¹</v>
      </c>
      <c r="N23" t="str">
        <f>S24&amp;" "&amp;L23</f>
        <v xml:space="preserve"> s⁻¹</v>
      </c>
      <c r="O23" s="9"/>
      <c r="Q23" s="242"/>
      <c r="R23" s="242"/>
      <c r="S23" s="242"/>
      <c r="T23" s="242"/>
      <c r="U23" s="242" t="s">
        <v>5706</v>
      </c>
      <c r="V23" s="242" t="s">
        <v>5748</v>
      </c>
    </row>
    <row r="24" spans="2:22">
      <c r="B24" s="227"/>
      <c r="C24" s="227"/>
      <c r="D24" s="10" t="str">
        <f>IF(Table1[[#This Row],['[A'] / M]]="","",LN(Table1[[#This Row],['[A'] / M]]))</f>
        <v/>
      </c>
      <c r="E24" s="10" t="str">
        <f>IF(Table1[[#This Row],['[A'] / M]]="","",1/Table1[[#This Row],['[A'] / M]])</f>
        <v/>
      </c>
      <c r="G24" s="7"/>
      <c r="J24" t="str">
        <f>"ln("&amp;$R$6&amp;"₀)"</f>
        <v>ln([A]₀)</v>
      </c>
      <c r="K24" t="e">
        <f>INTERCEPT(Table1[[#All],[ln '[A']]],Table1[[#All],[t / s]])</f>
        <v>#DIV/0!</v>
      </c>
      <c r="N24" t="str">
        <f>S25&amp;" "&amp;L24</f>
        <v xml:space="preserve"> </v>
      </c>
      <c r="O24" s="9"/>
      <c r="Q24" s="242"/>
      <c r="R24" s="242" t="str">
        <f>IFERROR(IF(
    OR(ABS(K23)&lt;0.001,ABS(K23)&gt;MIN(10^($R$5)-1,9999)),
    TEXT(K23, "0," &amp; REPT("0", $R$5-1) &amp; "E+00"),
    IF(K23="","",
IF(INT(LOG10(ABS(K23)))+1=$R$5,TEXT(K23,"0"),
TEXT(IF(K23&lt;0,"-","")&amp;LEFT(TEXT(ABS(K23),"0,"&amp;REPT("0",$R$5-1)&amp;"E+00"),$R$5+1)*10^FLOOR(LOG10(TEXT(ABS(K23),"0,"&amp;REPT("0",$R$5-1)&amp;"E+00")),1),(""&amp;(IF(OR(AND(FLOOR(LOG10(TEXT(ABS(K23),"0,"&amp;REPT("0",$R$5-1)&amp;"E+00")),1)+1=$R$5,RIGHT(LEFT(TEXT(ABS(K23),"0,"&amp;REPT("0",$R$5-1)&amp;"E+00"),$R$5+1)*10^FLOOR(LOG10(TEXT(ABS(K23),"0,"&amp;REPT("0",$R$5-1)&amp;"E+00")),1),1)="0"),LOG10(TEXT(ABS(K23),"0,"&amp;REPT("0",$R$5-1)&amp;"E+00"))&lt;=$R$5-1),"0,","#")&amp;REPT("0",IF($R$5-1-(FLOOR(LOG10(TEXT(ABS(K23),"0,"&amp;REPT("0",$R$5-1)&amp;"E+00")),1))&gt;0,$R$5-1-(FLOOR(LOG10(TEXT(ABS(K23),"0,"&amp;REPT("0",$R$5-1)&amp;"E+00")),1)),0))))))
)),"")</f>
        <v/>
      </c>
      <c r="S24"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24,$U$11,$V$11),$U$12,$V$12),$U$13,$V$13),$U$14,$V$14),$U$15,$V$15),$U$16,$V$16),$U$17,$V$17),$U$18,$V$18),$U$19,$V$19),$U$20,$V$20),$U$21,$V$21),$U$22,$V$22),$U$23,$V$23),$U$24,$V$24),$U$25,$V$25),$U$26,$V$26),$U$27,$V$27),$U$28,$V$28),$U$29,$V$29),$U$30,$V$30),$U$31,$V$31),$U$32,$V$32),$U$33,$V$33),$U$34,$V$34),$U$35,$V$35),$U$36,$V$36),$U$37,$V$37),$U$38,$V$38),
$U$39,$V$39),$U$40,$V$40),$U$41,$V$41),$U$42,$V$42),$U$43,$V$43),$U$44,$V$44),$U$45,$V$45),$U$46,$V$46),$U$47,$V$47),$U$48,$V$48),$U$49,$V$49),$U$50,$V$50)</f>
        <v/>
      </c>
      <c r="T24" s="242"/>
      <c r="U24" s="242" t="s">
        <v>5707</v>
      </c>
      <c r="V24" s="242" t="s">
        <v>5749</v>
      </c>
    </row>
    <row r="25" spans="2:22">
      <c r="B25" s="227"/>
      <c r="C25" s="227"/>
      <c r="D25" s="10" t="str">
        <f>IF(Table1[[#This Row],['[A'] / M]]="","",LN(Table1[[#This Row],['[A'] / M]]))</f>
        <v/>
      </c>
      <c r="E25" s="10" t="str">
        <f>IF(Table1[[#This Row],['[A'] / M]]="","",1/Table1[[#This Row],['[A'] / M]])</f>
        <v/>
      </c>
      <c r="G25" s="7"/>
      <c r="J25" t="str">
        <f>"T-halv ="</f>
        <v>T-halv =</v>
      </c>
      <c r="K25" t="e">
        <f xml:space="preserve"> LN(2)/K23</f>
        <v>#DIV/0!</v>
      </c>
      <c r="L25" t="str">
        <f>$R$4</f>
        <v>s</v>
      </c>
      <c r="N25" t="str">
        <f>S26&amp;" "&amp;L25</f>
        <v xml:space="preserve"> s</v>
      </c>
      <c r="O25" s="9"/>
      <c r="Q25" s="242"/>
      <c r="R25" s="242" t="str">
        <f>IFERROR(IF(
    OR(ABS(K24)&lt;0.001,ABS(K24)&gt;MIN(10^($R$5)-1,9999)),
    TEXT(K24, "0," &amp; REPT("0", $R$5-1) &amp; "E+00"),
    IF(K24="","",
IF(INT(LOG10(ABS(K24)))+1=$R$5,TEXT(K24,"0"),
TEXT(IF(K24&lt;0,"-","")&amp;LEFT(TEXT(ABS(K24),"0,"&amp;REPT("0",$R$5-1)&amp;"E+00"),$R$5+1)*10^FLOOR(LOG10(TEXT(ABS(K24),"0,"&amp;REPT("0",$R$5-1)&amp;"E+00")),1),(""&amp;(IF(OR(AND(FLOOR(LOG10(TEXT(ABS(K24),"0,"&amp;REPT("0",$R$5-1)&amp;"E+00")),1)+1=$R$5,RIGHT(LEFT(TEXT(ABS(K24),"0,"&amp;REPT("0",$R$5-1)&amp;"E+00"),$R$5+1)*10^FLOOR(LOG10(TEXT(ABS(K24),"0,"&amp;REPT("0",$R$5-1)&amp;"E+00")),1),1)="0"),LOG10(TEXT(ABS(K24),"0,"&amp;REPT("0",$R$5-1)&amp;"E+00"))&lt;=$R$5-1),"0,","#")&amp;REPT("0",IF($R$5-1-(FLOOR(LOG10(TEXT(ABS(K24),"0,"&amp;REPT("0",$R$5-1)&amp;"E+00")),1))&gt;0,$R$5-1-(FLOOR(LOG10(TEXT(ABS(K24),"0,"&amp;REPT("0",$R$5-1)&amp;"E+00")),1)),0))))))
)),"")</f>
        <v/>
      </c>
      <c r="S25"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25,$U$11,$V$11),$U$12,$V$12),$U$13,$V$13),$U$14,$V$14),$U$15,$V$15),$U$16,$V$16),$U$17,$V$17),$U$18,$V$18),$U$19,$V$19),$U$20,$V$20),$U$21,$V$21),$U$22,$V$22),$U$23,$V$23),$U$24,$V$24),$U$25,$V$25),$U$26,$V$26),$U$27,$V$27),$U$28,$V$28),$U$29,$V$29),$U$30,$V$30),$U$31,$V$31),$U$32,$V$32),$U$33,$V$33),$U$34,$V$34),$U$35,$V$35),$U$36,$V$36),$U$37,$V$37),$U$38,$V$38),
$U$39,$V$39),$U$40,$V$40),$U$41,$V$41),$U$42,$V$42),$U$43,$V$43),$U$44,$V$44),$U$45,$V$45),$U$46,$V$46),$U$47,$V$47),$U$48,$V$48),$U$49,$V$49),$U$50,$V$50)</f>
        <v/>
      </c>
      <c r="T25" s="242"/>
      <c r="U25" s="242" t="s">
        <v>5708</v>
      </c>
      <c r="V25" s="242" t="s">
        <v>5750</v>
      </c>
    </row>
    <row r="26" spans="2:22">
      <c r="B26" s="227"/>
      <c r="C26" s="227"/>
      <c r="D26" s="10" t="str">
        <f>IF(Table1[[#This Row],['[A'] / M]]="","",LN(Table1[[#This Row],['[A'] / M]]))</f>
        <v/>
      </c>
      <c r="E26" s="10" t="str">
        <f>IF(Table1[[#This Row],['[A'] / M]]="","",1/Table1[[#This Row],['[A'] / M]])</f>
        <v/>
      </c>
      <c r="G26" s="7"/>
      <c r="J26" t="str">
        <f>$R$6&amp;"₀"</f>
        <v>[A]₀</v>
      </c>
      <c r="K26" t="e">
        <f>EXP(K24)</f>
        <v>#DIV/0!</v>
      </c>
      <c r="L26" t="str">
        <f>$R$3</f>
        <v>M</v>
      </c>
      <c r="N26" t="str">
        <f>S27&amp;" "&amp;L26</f>
        <v xml:space="preserve"> M</v>
      </c>
      <c r="O26" s="9"/>
      <c r="Q26" s="242"/>
      <c r="R26" s="242" t="str">
        <f>IFERROR(IF(
    OR(ABS(K25)&lt;0.001,ABS(K25)&gt;MIN(10^($R$5)-1,9999)),
    TEXT(K25, "0," &amp; REPT("0", $R$5-1) &amp; "E+00"),
    IF(K25="","",
IF(INT(LOG10(ABS(K25)))+1=$R$5,TEXT(K25,"0"),
TEXT(IF(K25&lt;0,"-","")&amp;LEFT(TEXT(ABS(K25),"0,"&amp;REPT("0",$R$5-1)&amp;"E+00"),$R$5+1)*10^FLOOR(LOG10(TEXT(ABS(K25),"0,"&amp;REPT("0",$R$5-1)&amp;"E+00")),1),(""&amp;(IF(OR(AND(FLOOR(LOG10(TEXT(ABS(K25),"0,"&amp;REPT("0",$R$5-1)&amp;"E+00")),1)+1=$R$5,RIGHT(LEFT(TEXT(ABS(K25),"0,"&amp;REPT("0",$R$5-1)&amp;"E+00"),$R$5+1)*10^FLOOR(LOG10(TEXT(ABS(K25),"0,"&amp;REPT("0",$R$5-1)&amp;"E+00")),1),1)="0"),LOG10(TEXT(ABS(K25),"0,"&amp;REPT("0",$R$5-1)&amp;"E+00"))&lt;=$R$5-1),"0,","#")&amp;REPT("0",IF($R$5-1-(FLOOR(LOG10(TEXT(ABS(K25),"0,"&amp;REPT("0",$R$5-1)&amp;"E+00")),1))&gt;0,$R$5-1-(FLOOR(LOG10(TEXT(ABS(K25),"0,"&amp;REPT("0",$R$5-1)&amp;"E+00")),1)),0))))))
)),"")</f>
        <v/>
      </c>
      <c r="S26"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26,$U$11,$V$11),$U$12,$V$12),$U$13,$V$13),$U$14,$V$14),$U$15,$V$15),$U$16,$V$16),$U$17,$V$17),$U$18,$V$18),$U$19,$V$19),$U$20,$V$20),$U$21,$V$21),$U$22,$V$22),$U$23,$V$23),$U$24,$V$24),$U$25,$V$25),$U$26,$V$26),$U$27,$V$27),$U$28,$V$28),$U$29,$V$29),$U$30,$V$30),$U$31,$V$31),$U$32,$V$32),$U$33,$V$33),$U$34,$V$34),$U$35,$V$35),$U$36,$V$36),$U$37,$V$37),$U$38,$V$38),
$U$39,$V$39),$U$40,$V$40),$U$41,$V$41),$U$42,$V$42),$U$43,$V$43),$U$44,$V$44),$U$45,$V$45),$U$46,$V$46),$U$47,$V$47),$U$48,$V$48),$U$49,$V$49),$U$50,$V$50)</f>
        <v/>
      </c>
      <c r="T26" s="242"/>
      <c r="U26" s="242" t="s">
        <v>5709</v>
      </c>
      <c r="V26" s="242" t="s">
        <v>5751</v>
      </c>
    </row>
    <row r="27" spans="2:22">
      <c r="B27" s="227"/>
      <c r="C27" s="227"/>
      <c r="D27" s="10" t="str">
        <f>IF(Table1[[#This Row],['[A'] / M]]="","",LN(Table1[[#This Row],['[A'] / M]]))</f>
        <v/>
      </c>
      <c r="E27" s="10" t="str">
        <f>IF(Table1[[#This Row],['[A'] / M]]="","",1/Table1[[#This Row],['[A'] / M]])</f>
        <v/>
      </c>
      <c r="G27" s="7"/>
      <c r="O27" s="9"/>
      <c r="Q27" s="242"/>
      <c r="R27" s="242" t="str">
        <f>IFERROR(IF(
    OR(ABS(K26)&lt;0.001,ABS(K26)&gt;MIN(10^($R$5)-1,9999)),
    TEXT(K26, "0," &amp; REPT("0", $R$5-1) &amp; "E+00"),
    IF(K26="","",
IF(INT(LOG10(ABS(K26)))+1=$R$5,TEXT(K26,"0"),
TEXT(IF(K26&lt;0,"-","")&amp;LEFT(TEXT(ABS(K26),"0,"&amp;REPT("0",$R$5-1)&amp;"E+00"),$R$5+1)*10^FLOOR(LOG10(TEXT(ABS(K26),"0,"&amp;REPT("0",$R$5-1)&amp;"E+00")),1),(""&amp;(IF(OR(AND(FLOOR(LOG10(TEXT(ABS(K26),"0,"&amp;REPT("0",$R$5-1)&amp;"E+00")),1)+1=$R$5,RIGHT(LEFT(TEXT(ABS(K26),"0,"&amp;REPT("0",$R$5-1)&amp;"E+00"),$R$5+1)*10^FLOOR(LOG10(TEXT(ABS(K26),"0,"&amp;REPT("0",$R$5-1)&amp;"E+00")),1),1)="0"),LOG10(TEXT(ABS(K26),"0,"&amp;REPT("0",$R$5-1)&amp;"E+00"))&lt;=$R$5-1),"0,","#")&amp;REPT("0",IF($R$5-1-(FLOOR(LOG10(TEXT(ABS(K26),"0,"&amp;REPT("0",$R$5-1)&amp;"E+00")),1))&gt;0,$R$5-1-(FLOOR(LOG10(TEXT(ABS(K26),"0,"&amp;REPT("0",$R$5-1)&amp;"E+00")),1)),0))))))
)),"")</f>
        <v/>
      </c>
      <c r="S27"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27,$U$11,$V$11),$U$12,$V$12),$U$13,$V$13),$U$14,$V$14),$U$15,$V$15),$U$16,$V$16),$U$17,$V$17),$U$18,$V$18),$U$19,$V$19),$U$20,$V$20),$U$21,$V$21),$U$22,$V$22),$U$23,$V$23),$U$24,$V$24),$U$25,$V$25),$U$26,$V$26),$U$27,$V$27),$U$28,$V$28),$U$29,$V$29),$U$30,$V$30),$U$31,$V$31),$U$32,$V$32),$U$33,$V$33),$U$34,$V$34),$U$35,$V$35),$U$36,$V$36),$U$37,$V$37),$U$38,$V$38),
$U$39,$V$39),$U$40,$V$40),$U$41,$V$41),$U$42,$V$42),$U$43,$V$43),$U$44,$V$44),$U$45,$V$45),$U$46,$V$46),$U$47,$V$47),$U$48,$V$48),$U$49,$V$49),$U$50,$V$50)</f>
        <v/>
      </c>
      <c r="T27" s="242"/>
      <c r="U27" s="242" t="s">
        <v>5710</v>
      </c>
      <c r="V27" s="242" t="s">
        <v>5752</v>
      </c>
    </row>
    <row r="28" spans="2:22">
      <c r="B28" s="227"/>
      <c r="C28" s="227"/>
      <c r="D28" s="10" t="str">
        <f>IF(Table1[[#This Row],['[A'] / M]]="","",LN(Table1[[#This Row],['[A'] / M]]))</f>
        <v/>
      </c>
      <c r="E28" s="10" t="str">
        <f>IF(Table1[[#This Row],['[A'] / M]]="","",1/Table1[[#This Row],['[A'] / M]])</f>
        <v/>
      </c>
      <c r="G28" s="7"/>
      <c r="J28" t="str">
        <f>"Funktionsudstryk med "&amp;$R$5&amp;" betydende cifre:"</f>
        <v>Funktionsudstryk med 3 betydende cifre:</v>
      </c>
      <c r="O28" s="9"/>
      <c r="Q28" s="242"/>
      <c r="R28" s="242"/>
      <c r="S28" s="242"/>
      <c r="T28" s="242"/>
      <c r="U28" s="242" t="s">
        <v>5711</v>
      </c>
      <c r="V28" s="242" t="s">
        <v>5753</v>
      </c>
    </row>
    <row r="29" spans="2:22">
      <c r="B29" s="227"/>
      <c r="C29" s="227"/>
      <c r="D29" s="10" t="str">
        <f>IF(Table1[[#This Row],['[A'] / M]]="","",LN(Table1[[#This Row],['[A'] / M]]))</f>
        <v/>
      </c>
      <c r="E29" s="10" t="str">
        <f>IF(Table1[[#This Row],['[A'] / M]]="","",1/Table1[[#This Row],['[A'] / M]])</f>
        <v/>
      </c>
      <c r="G29" s="7"/>
      <c r="J29" t="str">
        <f>"ln("&amp;$R$6&amp;") = -k"&amp;" ∙ t + ln("&amp;R6&amp;"₀)"</f>
        <v>ln([A]) = -k ∙ t + ln([A]₀)</v>
      </c>
      <c r="N29" t="str">
        <f>$R$6&amp;" = "&amp;R6&amp;"₀ ∙e^(-k∙t)"</f>
        <v>[A] = [A]₀ ∙e^(-k∙t)</v>
      </c>
      <c r="O29" s="9"/>
      <c r="Q29" s="242"/>
      <c r="R29" s="242"/>
      <c r="S29" s="242"/>
      <c r="T29" s="242"/>
      <c r="U29" s="242" t="s">
        <v>5712</v>
      </c>
      <c r="V29" s="242" t="s">
        <v>5754</v>
      </c>
    </row>
    <row r="30" spans="2:22">
      <c r="B30" s="227"/>
      <c r="C30" s="227"/>
      <c r="D30" s="10" t="str">
        <f>IF(Table1[[#This Row],['[A'] / M]]="","",LN(Table1[[#This Row],['[A'] / M]]))</f>
        <v/>
      </c>
      <c r="E30" s="10" t="str">
        <f>IF(Table1[[#This Row],['[A'] / M]]="","",1/Table1[[#This Row],['[A'] / M]])</f>
        <v/>
      </c>
      <c r="G30" s="7"/>
      <c r="J30" t="str">
        <f>"ln("&amp;$R$6&amp;") = -"&amp;N23&amp;" ∙ t"&amp;IF(N24&gt;0," + "," - ")&amp;N24</f>
        <v xml:space="preserve">ln([A]) = - s⁻¹ ∙ t +  </v>
      </c>
      <c r="N30" t="str">
        <f>$R$6&amp;" = "&amp;N26&amp;" ∙ e^(-"&amp;N23&amp;" ∙ t)"</f>
        <v>[A] =  M ∙ e^(- s⁻¹ ∙ t)</v>
      </c>
      <c r="O30" s="9"/>
      <c r="Q30" s="242"/>
      <c r="R30" s="242"/>
      <c r="S30" s="242"/>
      <c r="T30" s="242"/>
      <c r="U30" s="242" t="s">
        <v>5713</v>
      </c>
      <c r="V30" s="242"/>
    </row>
    <row r="31" spans="2:22">
      <c r="B31" s="227"/>
      <c r="C31" s="227"/>
      <c r="D31" s="10" t="str">
        <f>IF(Table1[[#This Row],['[A'] / M]]="","",LN(Table1[[#This Row],['[A'] / M]]))</f>
        <v/>
      </c>
      <c r="E31" s="10" t="str">
        <f>IF(Table1[[#This Row],['[A'] / M]]="","",1/Table1[[#This Row],['[A'] / M]])</f>
        <v/>
      </c>
      <c r="G31" s="7"/>
      <c r="O31" s="9"/>
      <c r="Q31" s="242"/>
      <c r="R31" s="242"/>
      <c r="S31" s="242"/>
      <c r="T31" s="242"/>
      <c r="U31" s="242" t="s">
        <v>5714</v>
      </c>
      <c r="V31" s="242" t="s">
        <v>5755</v>
      </c>
    </row>
    <row r="32" spans="2:22">
      <c r="B32" s="227"/>
      <c r="C32" s="227"/>
      <c r="D32" s="10" t="str">
        <f>IF(Table1[[#This Row],['[A'] / M]]="","",LN(Table1[[#This Row],['[A'] / M]]))</f>
        <v/>
      </c>
      <c r="E32" s="10" t="str">
        <f>IF(Table1[[#This Row],['[A'] / M]]="","",1/Table1[[#This Row],['[A'] / M]])</f>
        <v/>
      </c>
      <c r="G32" s="7"/>
      <c r="J32" t="s">
        <v>5628</v>
      </c>
      <c r="O32" s="9"/>
      <c r="Q32" s="242"/>
      <c r="R32" s="242"/>
      <c r="S32" s="242"/>
      <c r="T32" s="242"/>
      <c r="U32" s="242" t="s">
        <v>5715</v>
      </c>
      <c r="V32" s="242" t="s">
        <v>5756</v>
      </c>
    </row>
    <row r="33" spans="2:22">
      <c r="B33" s="227"/>
      <c r="C33" s="227"/>
      <c r="D33" s="10" t="str">
        <f>IF(Table1[[#This Row],['[A'] / M]]="","",LN(Table1[[#This Row],['[A'] / M]]))</f>
        <v/>
      </c>
      <c r="E33" s="10" t="str">
        <f>IF(Table1[[#This Row],['[A'] / M]]="","",1/Table1[[#This Row],['[A'] / M]])</f>
        <v/>
      </c>
      <c r="G33" s="7"/>
      <c r="J33" t="str">
        <f>"v = "&amp;N23&amp;" ∙ "&amp;$R$6</f>
        <v>v =  s⁻¹ ∙ [A]</v>
      </c>
      <c r="O33" s="9"/>
      <c r="Q33" s="242"/>
      <c r="R33" s="242"/>
      <c r="S33" s="242"/>
      <c r="T33" s="242"/>
      <c r="U33" s="242" t="s">
        <v>5716</v>
      </c>
      <c r="V33" s="242" t="s">
        <v>5757</v>
      </c>
    </row>
    <row r="34" spans="2:22" ht="15.75" thickBot="1">
      <c r="B34" s="227"/>
      <c r="C34" s="227"/>
      <c r="D34" s="10" t="str">
        <f>IF(Table1[[#This Row],['[A'] / M]]="","",LN(Table1[[#This Row],['[A'] / M]]))</f>
        <v/>
      </c>
      <c r="E34" s="10" t="str">
        <f>IF(Table1[[#This Row],['[A'] / M]]="","",1/Table1[[#This Row],['[A'] / M]])</f>
        <v/>
      </c>
      <c r="G34" s="71"/>
      <c r="H34" s="68"/>
      <c r="I34" s="68"/>
      <c r="J34" s="68"/>
      <c r="K34" s="68"/>
      <c r="L34" s="68"/>
      <c r="M34" s="68"/>
      <c r="N34" s="68"/>
      <c r="O34" s="74"/>
      <c r="Q34" s="242"/>
      <c r="R34" s="242"/>
      <c r="S34" s="242"/>
      <c r="T34" s="242"/>
      <c r="U34" s="242" t="s">
        <v>5717</v>
      </c>
      <c r="V34" s="242" t="s">
        <v>5758</v>
      </c>
    </row>
    <row r="35" spans="2:22">
      <c r="B35" s="227"/>
      <c r="C35" s="227"/>
      <c r="D35" s="10" t="str">
        <f>IF(Table1[[#This Row],['[A'] / M]]="","",LN(Table1[[#This Row],['[A'] / M]]))</f>
        <v/>
      </c>
      <c r="E35" s="10" t="str">
        <f>IF(Table1[[#This Row],['[A'] / M]]="","",1/Table1[[#This Row],['[A'] / M]])</f>
        <v/>
      </c>
      <c r="G35" s="1"/>
      <c r="H35" s="2"/>
      <c r="I35" s="2"/>
      <c r="J35" s="2"/>
      <c r="K35" s="2"/>
      <c r="L35" s="2"/>
      <c r="M35" s="2"/>
      <c r="N35" s="2"/>
      <c r="O35" s="5"/>
      <c r="Q35" s="242"/>
      <c r="R35" s="242"/>
      <c r="S35" s="242"/>
      <c r="T35" s="242"/>
      <c r="U35" s="242" t="s">
        <v>5718</v>
      </c>
      <c r="V35" s="242" t="s">
        <v>5759</v>
      </c>
    </row>
    <row r="36" spans="2:22" ht="15.75">
      <c r="B36" s="227"/>
      <c r="C36" s="227"/>
      <c r="D36" s="10" t="str">
        <f>IF(Table1[[#This Row],['[A'] / M]]="","",LN(Table1[[#This Row],['[A'] / M]]))</f>
        <v/>
      </c>
      <c r="E36" s="10" t="str">
        <f>IF(Table1[[#This Row],['[A'] / M]]="","",1/Table1[[#This Row],['[A'] / M]])</f>
        <v/>
      </c>
      <c r="G36" s="7"/>
      <c r="J36" s="169" t="str">
        <f>"1/"&amp;R6&amp;" vs tid  -   2. ordens reaktion"</f>
        <v>1/[A] vs tid  -   2. ordens reaktion</v>
      </c>
      <c r="K36" s="173"/>
      <c r="O36" s="9"/>
      <c r="Q36" s="242"/>
      <c r="R36" s="242"/>
      <c r="S36" s="242"/>
      <c r="T36" s="242"/>
      <c r="U36" s="242" t="s">
        <v>5719</v>
      </c>
      <c r="V36" s="242" t="s">
        <v>5760</v>
      </c>
    </row>
    <row r="37" spans="2:22">
      <c r="B37" s="227"/>
      <c r="C37" s="227"/>
      <c r="D37" s="10" t="str">
        <f>IF(Table1[[#This Row],['[A'] / M]]="","",LN(Table1[[#This Row],['[A'] / M]]))</f>
        <v/>
      </c>
      <c r="E37" s="10" t="str">
        <f>IF(Table1[[#This Row],['[A'] / M]]="","",1/Table1[[#This Row],['[A'] / M]])</f>
        <v/>
      </c>
      <c r="G37" s="7"/>
      <c r="J37" t="s">
        <v>5623</v>
      </c>
      <c r="K37" t="e">
        <f>CORREL(Table1[[#All],[1/'[A'] / M⁻¹]],Table1[[#All],[t / s]])^2</f>
        <v>#DIV/0!</v>
      </c>
      <c r="O37" s="9"/>
      <c r="Q37" s="242"/>
      <c r="R37" s="242"/>
      <c r="S37" s="242"/>
      <c r="T37" s="242"/>
      <c r="U37" s="242" t="s">
        <v>5720</v>
      </c>
      <c r="V37" s="242" t="s">
        <v>5761</v>
      </c>
    </row>
    <row r="38" spans="2:22">
      <c r="B38" s="227"/>
      <c r="C38" s="227"/>
      <c r="D38" s="10" t="str">
        <f>IF(Table1[[#This Row],['[A'] / M]]="","",LN(Table1[[#This Row],['[A'] / M]]))</f>
        <v/>
      </c>
      <c r="E38" s="10" t="str">
        <f>IF(Table1[[#This Row],['[A'] / M]]="","",1/Table1[[#This Row],['[A'] / M]])</f>
        <v/>
      </c>
      <c r="G38" s="7"/>
      <c r="N38" t="str">
        <f>"Afrundet til "&amp;$R$5&amp;" betydende cifre:"</f>
        <v>Afrundet til 3 betydende cifre:</v>
      </c>
      <c r="O38" s="9"/>
      <c r="Q38" s="242"/>
      <c r="R38" s="242"/>
      <c r="S38" s="242"/>
      <c r="T38" s="242"/>
      <c r="U38" s="242" t="s">
        <v>5721</v>
      </c>
      <c r="V38" s="242" t="s">
        <v>5762</v>
      </c>
    </row>
    <row r="39" spans="2:22">
      <c r="B39" s="227"/>
      <c r="C39" s="227"/>
      <c r="D39" s="10" t="str">
        <f>IF(Table1[[#This Row],['[A'] / M]]="","",LN(Table1[[#This Row],['[A'] / M]]))</f>
        <v/>
      </c>
      <c r="E39" s="10" t="str">
        <f>IF(Table1[[#This Row],['[A'] / M]]="","",1/Table1[[#This Row],['[A'] / M]])</f>
        <v/>
      </c>
      <c r="G39" s="7"/>
      <c r="J39" t="s">
        <v>5626</v>
      </c>
      <c r="K39" t="e">
        <f>SLOPE(Table1[[#All],[1/'[A'] / M⁻¹]],Table1[[#All],[t / s]])</f>
        <v>#DIV/0!</v>
      </c>
      <c r="L39" t="str">
        <f>$R$3&amp;"⁻¹∙"&amp;$R$4&amp;"⁻¹"</f>
        <v>M⁻¹∙s⁻¹</v>
      </c>
      <c r="N39" t="str">
        <f>S40&amp;" "&amp;L39</f>
        <v xml:space="preserve"> M⁻¹∙s⁻¹</v>
      </c>
      <c r="O39" s="9"/>
      <c r="Q39" s="242"/>
      <c r="R39" s="242"/>
      <c r="S39" s="242"/>
      <c r="T39" s="242"/>
      <c r="U39" s="242" t="s">
        <v>5722</v>
      </c>
      <c r="V39" s="242" t="s">
        <v>5763</v>
      </c>
    </row>
    <row r="40" spans="2:22">
      <c r="B40" s="227"/>
      <c r="C40" s="227"/>
      <c r="D40" s="10" t="str">
        <f>IF(Table1[[#This Row],['[A'] / M]]="","",LN(Table1[[#This Row],['[A'] / M]]))</f>
        <v/>
      </c>
      <c r="E40" s="10" t="str">
        <f>IF(Table1[[#This Row],['[A'] / M]]="","",1/Table1[[#This Row],['[A'] / M]])</f>
        <v/>
      </c>
      <c r="G40" s="7"/>
      <c r="J40" t="str">
        <f>"1/"&amp;$R$6&amp;"₀"</f>
        <v>1/[A]₀</v>
      </c>
      <c r="K40" t="e">
        <f>INTERCEPT(Table1[[#All],[1/'[A'] / M⁻¹]],Table1[[#All],[t / s]])</f>
        <v>#DIV/0!</v>
      </c>
      <c r="L40" t="str">
        <f>$R$3&amp;"⁻¹"</f>
        <v>M⁻¹</v>
      </c>
      <c r="N40" t="str">
        <f>S41&amp;" "&amp;L40</f>
        <v xml:space="preserve"> M⁻¹</v>
      </c>
      <c r="O40" s="9"/>
      <c r="Q40" s="242"/>
      <c r="R40" s="242" t="str">
        <f>IFERROR(IF(
    OR(ABS(K39)&lt;0.001,ABS(K39)&gt;MIN(10^($R$5)-1,9999)),
    TEXT(K39, "0," &amp; REPT("0", $R$5-1) &amp; "E+00"),
    IF(K39="","",
IF(INT(LOG10(ABS(K39)))+1=$R$5,TEXT(K39,"0"),
TEXT(IF(K39&lt;0,"-","")&amp;LEFT(TEXT(ABS(K39),"0,"&amp;REPT("0",$R$5-1)&amp;"E+00"),$R$5+1)*10^FLOOR(LOG10(TEXT(ABS(K39),"0,"&amp;REPT("0",$R$5-1)&amp;"E+00")),1),(""&amp;(IF(OR(AND(FLOOR(LOG10(TEXT(ABS(K39),"0,"&amp;REPT("0",$R$5-1)&amp;"E+00")),1)+1=$R$5,RIGHT(LEFT(TEXT(ABS(K39),"0,"&amp;REPT("0",$R$5-1)&amp;"E+00"),$R$5+1)*10^FLOOR(LOG10(TEXT(ABS(K39),"0,"&amp;REPT("0",$R$5-1)&amp;"E+00")),1),1)="0"),LOG10(TEXT(ABS(K39),"0,"&amp;REPT("0",$R$5-1)&amp;"E+00"))&lt;=$R$5-1),"0,","#")&amp;REPT("0",IF($R$5-1-(FLOOR(LOG10(TEXT(ABS(K39),"0,"&amp;REPT("0",$R$5-1)&amp;"E+00")),1))&gt;0,$R$5-1-(FLOOR(LOG10(TEXT(ABS(K39),"0,"&amp;REPT("0",$R$5-1)&amp;"E+00")),1)),0))))))
)),"")</f>
        <v/>
      </c>
      <c r="S40"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40,$U$11,$V$11),$U$12,$V$12),$U$13,$V$13),$U$14,$V$14),$U$15,$V$15),$U$16,$V$16),$U$17,$V$17),$U$18,$V$18),$U$19,$V$19),$U$20,$V$20),$U$21,$V$21),$U$22,$V$22),$U$23,$V$23),$U$24,$V$24),$U$25,$V$25),$U$26,$V$26),$U$27,$V$27),$U$28,$V$28),$U$29,$V$29),$U$30,$V$30),$U$31,$V$31),$U$32,$V$32),$U$33,$V$33),$U$34,$V$34),$U$35,$V$35),$U$36,$V$36),$U$37,$V$37),$U$38,$V$38),
$U$39,$V$39),$U$40,$V$40),$U$41,$V$41),$U$42,$V$42),$U$43,$V$43),$U$44,$V$44),$U$45,$V$45),$U$46,$V$46),$U$47,$V$47),$U$48,$V$48),$U$49,$V$49),$U$50,$V$50)</f>
        <v/>
      </c>
      <c r="T40" s="242"/>
      <c r="U40" s="242" t="s">
        <v>5723</v>
      </c>
      <c r="V40" s="242" t="s">
        <v>5764</v>
      </c>
    </row>
    <row r="41" spans="2:22">
      <c r="B41" s="172"/>
      <c r="C41" s="172"/>
      <c r="D41" s="10" t="str">
        <f>IF(Table1[[#This Row],['[A'] / M]]="","",LN(Table1[[#This Row],['[A'] / M]]))</f>
        <v/>
      </c>
      <c r="E41" s="10" t="str">
        <f>IF(Table1[[#This Row],['[A'] / M]]="","",1/Table1[[#This Row],['[A'] / M]])</f>
        <v/>
      </c>
      <c r="G41" s="7"/>
      <c r="J41" t="str">
        <f>"T-halv₀ ="</f>
        <v>T-halv₀ =</v>
      </c>
      <c r="K41" t="e">
        <f xml:space="preserve"> 1/(K42*K39)</f>
        <v>#DIV/0!</v>
      </c>
      <c r="L41" t="str">
        <f>$R$4</f>
        <v>s</v>
      </c>
      <c r="N41" t="str">
        <f>S42&amp;" "&amp;L41</f>
        <v xml:space="preserve"> s</v>
      </c>
      <c r="O41" s="9"/>
      <c r="Q41" s="242"/>
      <c r="R41" s="242" t="str">
        <f>IFERROR(IF(
    OR(ABS(K40)&lt;0.001,ABS(K40)&gt;MIN(10^($R$5)-1,9999)),
    TEXT(K40, "0," &amp; REPT("0", $R$5-1) &amp; "E+00"),
    IF(K40="","",
IF(INT(LOG10(ABS(K40)))+1=$R$5,TEXT(K40,"0"),
TEXT(IF(K40&lt;0,"-","")&amp;LEFT(TEXT(ABS(K40),"0,"&amp;REPT("0",$R$5-1)&amp;"E+00"),$R$5+1)*10^FLOOR(LOG10(TEXT(ABS(K40),"0,"&amp;REPT("0",$R$5-1)&amp;"E+00")),1),(""&amp;(IF(OR(AND(FLOOR(LOG10(TEXT(ABS(K40),"0,"&amp;REPT("0",$R$5-1)&amp;"E+00")),1)+1=$R$5,RIGHT(LEFT(TEXT(ABS(K40),"0,"&amp;REPT("0",$R$5-1)&amp;"E+00"),$R$5+1)*10^FLOOR(LOG10(TEXT(ABS(K40),"0,"&amp;REPT("0",$R$5-1)&amp;"E+00")),1),1)="0"),LOG10(TEXT(ABS(K40),"0,"&amp;REPT("0",$R$5-1)&amp;"E+00"))&lt;=$R$5-1),"0,","#")&amp;REPT("0",IF($R$5-1-(FLOOR(LOG10(TEXT(ABS(K40),"0,"&amp;REPT("0",$R$5-1)&amp;"E+00")),1))&gt;0,$R$5-1-(FLOOR(LOG10(TEXT(ABS(K40),"0,"&amp;REPT("0",$R$5-1)&amp;"E+00")),1)),0))))))
)),"")</f>
        <v/>
      </c>
      <c r="S41"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41,$U$11,$V$11),$U$12,$V$12),$U$13,$V$13),$U$14,$V$14),$U$15,$V$15),$U$16,$V$16),$U$17,$V$17),$U$18,$V$18),$U$19,$V$19),$U$20,$V$20),$U$21,$V$21),$U$22,$V$22),$U$23,$V$23),$U$24,$V$24),$U$25,$V$25),$U$26,$V$26),$U$27,$V$27),$U$28,$V$28),$U$29,$V$29),$U$30,$V$30),$U$31,$V$31),$U$32,$V$32),$U$33,$V$33),$U$34,$V$34),$U$35,$V$35),$U$36,$V$36),$U$37,$V$37),$U$38,$V$38),
$U$39,$V$39),$U$40,$V$40),$U$41,$V$41),$U$42,$V$42),$U$43,$V$43),$U$44,$V$44),$U$45,$V$45),$U$46,$V$46),$U$47,$V$47),$U$48,$V$48),$U$49,$V$49),$U$50,$V$50)</f>
        <v/>
      </c>
      <c r="T41" s="242"/>
      <c r="U41" s="242" t="s">
        <v>5724</v>
      </c>
      <c r="V41" s="242" t="s">
        <v>5765</v>
      </c>
    </row>
    <row r="42" spans="2:22">
      <c r="B42" s="172"/>
      <c r="C42" s="172"/>
      <c r="D42" s="10" t="str">
        <f>IF(Table1[[#This Row],['[A'] / M]]="","",LN(Table1[[#This Row],['[A'] / M]]))</f>
        <v/>
      </c>
      <c r="E42" s="10" t="str">
        <f>IF(Table1[[#This Row],['[A'] / M]]="","",1/Table1[[#This Row],['[A'] / M]])</f>
        <v/>
      </c>
      <c r="G42" s="7"/>
      <c r="J42" t="str">
        <f>$R$6&amp;"₀"</f>
        <v>[A]₀</v>
      </c>
      <c r="K42" t="e">
        <f>1/(K40)</f>
        <v>#DIV/0!</v>
      </c>
      <c r="L42" t="str">
        <f>$R$3</f>
        <v>M</v>
      </c>
      <c r="N42" t="str">
        <f>S43&amp;" "&amp;L42</f>
        <v xml:space="preserve"> M</v>
      </c>
      <c r="O42" s="9"/>
      <c r="Q42" s="242"/>
      <c r="R42" s="242" t="str">
        <f>IFERROR(IF(
    OR(ABS(K41)&lt;0.001,ABS(K41)&gt;MIN(10^($R$5)-1,9999)),
    TEXT(K41, "0," &amp; REPT("0", $R$5-1) &amp; "E+00"),
    IF(K41="","",
IF(INT(LOG10(ABS(K41)))+1=$R$5,TEXT(K41,"0"),
TEXT(IF(K41&lt;0,"-","")&amp;LEFT(TEXT(ABS(K41),"0,"&amp;REPT("0",$R$5-1)&amp;"E+00"),$R$5+1)*10^FLOOR(LOG10(TEXT(ABS(K41),"0,"&amp;REPT("0",$R$5-1)&amp;"E+00")),1),(""&amp;(IF(OR(AND(FLOOR(LOG10(TEXT(ABS(K41),"0,"&amp;REPT("0",$R$5-1)&amp;"E+00")),1)+1=$R$5,RIGHT(LEFT(TEXT(ABS(K41),"0,"&amp;REPT("0",$R$5-1)&amp;"E+00"),$R$5+1)*10^FLOOR(LOG10(TEXT(ABS(K41),"0,"&amp;REPT("0",$R$5-1)&amp;"E+00")),1),1)="0"),LOG10(TEXT(ABS(K41),"0,"&amp;REPT("0",$R$5-1)&amp;"E+00"))&lt;=$R$5-1),"0,","#")&amp;REPT("0",IF($R$5-1-(FLOOR(LOG10(TEXT(ABS(K41),"0,"&amp;REPT("0",$R$5-1)&amp;"E+00")),1))&gt;0,$R$5-1-(FLOOR(LOG10(TEXT(ABS(K41),"0,"&amp;REPT("0",$R$5-1)&amp;"E+00")),1)),0))))))
)),"")</f>
        <v/>
      </c>
      <c r="S42"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42,$U$11,$V$11),$U$12,$V$12),$U$13,$V$13),$U$14,$V$14),$U$15,$V$15),$U$16,$V$16),$U$17,$V$17),$U$18,$V$18),$U$19,$V$19),$U$20,$V$20),$U$21,$V$21),$U$22,$V$22),$U$23,$V$23),$U$24,$V$24),$U$25,$V$25),$U$26,$V$26),$U$27,$V$27),$U$28,$V$28),$U$29,$V$29),$U$30,$V$30),$U$31,$V$31),$U$32,$V$32),$U$33,$V$33),$U$34,$V$34),$U$35,$V$35),$U$36,$V$36),$U$37,$V$37),$U$38,$V$38),
$U$39,$V$39),$U$40,$V$40),$U$41,$V$41),$U$42,$V$42),$U$43,$V$43),$U$44,$V$44),$U$45,$V$45),$U$46,$V$46),$U$47,$V$47),$U$48,$V$48),$U$49,$V$49),$U$50,$V$50)</f>
        <v/>
      </c>
      <c r="T42" s="242"/>
      <c r="U42" s="242" t="s">
        <v>5725</v>
      </c>
      <c r="V42" s="242" t="s">
        <v>5766</v>
      </c>
    </row>
    <row r="43" spans="2:22">
      <c r="B43" s="172"/>
      <c r="C43" s="172"/>
      <c r="D43" s="10" t="str">
        <f>IF(Table1[[#This Row],['[A'] / M]]="","",LN(Table1[[#This Row],['[A'] / M]]))</f>
        <v/>
      </c>
      <c r="E43" s="10" t="str">
        <f>IF(Table1[[#This Row],['[A'] / M]]="","",1/Table1[[#This Row],['[A'] / M]])</f>
        <v/>
      </c>
      <c r="G43" s="7"/>
      <c r="O43" s="9"/>
      <c r="Q43" s="242"/>
      <c r="R43" s="242" t="str">
        <f>IFERROR(IF(
    OR(ABS(K42)&lt;0.001,ABS(K42)&gt;MIN(10^($R$5)-1,9999)),
    TEXT(K42, "0," &amp; REPT("0", $R$5-1) &amp; "E+00"),
    IF(K42="","",
IF(INT(LOG10(ABS(K42)))+1=$R$5,TEXT(K42,"0"),
TEXT(IF(K42&lt;0,"-","")&amp;LEFT(TEXT(ABS(K42),"0,"&amp;REPT("0",$R$5-1)&amp;"E+00"),$R$5+1)*10^FLOOR(LOG10(TEXT(ABS(K42),"0,"&amp;REPT("0",$R$5-1)&amp;"E+00")),1),(""&amp;(IF(OR(AND(FLOOR(LOG10(TEXT(ABS(K42),"0,"&amp;REPT("0",$R$5-1)&amp;"E+00")),1)+1=$R$5,RIGHT(LEFT(TEXT(ABS(K42),"0,"&amp;REPT("0",$R$5-1)&amp;"E+00"),$R$5+1)*10^FLOOR(LOG10(TEXT(ABS(K42),"0,"&amp;REPT("0",$R$5-1)&amp;"E+00")),1),1)="0"),LOG10(TEXT(ABS(K42),"0,"&amp;REPT("0",$R$5-1)&amp;"E+00"))&lt;=$R$5-1),"0,","#")&amp;REPT("0",IF($R$5-1-(FLOOR(LOG10(TEXT(ABS(K42),"0,"&amp;REPT("0",$R$5-1)&amp;"E+00")),1))&gt;0,$R$5-1-(FLOOR(LOG10(TEXT(ABS(K42),"0,"&amp;REPT("0",$R$5-1)&amp;"E+00")),1)),0))))))
)),"")</f>
        <v/>
      </c>
      <c r="S43" s="24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43,$U$11,$V$11),$U$12,$V$12),$U$13,$V$13),$U$14,$V$14),$U$15,$V$15),$U$16,$V$16),$U$17,$V$17),$U$18,$V$18),$U$19,$V$19),$U$20,$V$20),$U$21,$V$21),$U$22,$V$22),$U$23,$V$23),$U$24,$V$24),$U$25,$V$25),$U$26,$V$26),$U$27,$V$27),$U$28,$V$28),$U$29,$V$29),$U$30,$V$30),$U$31,$V$31),$U$32,$V$32),$U$33,$V$33),$U$34,$V$34),$U$35,$V$35),$U$36,$V$36),$U$37,$V$37),$U$38,$V$38),
$U$39,$V$39),$U$40,$V$40),$U$41,$V$41),$U$42,$V$42),$U$43,$V$43),$U$44,$V$44),$U$45,$V$45),$U$46,$V$46),$U$47,$V$47),$U$48,$V$48),$U$49,$V$49),$U$50,$V$50)</f>
        <v/>
      </c>
      <c r="T43" s="242"/>
      <c r="U43" s="242" t="s">
        <v>5726</v>
      </c>
      <c r="V43" s="242" t="s">
        <v>5767</v>
      </c>
    </row>
    <row r="44" spans="2:22">
      <c r="B44" s="172"/>
      <c r="C44" s="172"/>
      <c r="D44" s="10" t="str">
        <f>IF(Table1[[#This Row],['[A'] / M]]="","",LN(Table1[[#This Row],['[A'] / M]]))</f>
        <v/>
      </c>
      <c r="E44" s="10" t="str">
        <f>IF(Table1[[#This Row],['[A'] / M]]="","",1/Table1[[#This Row],['[A'] / M]])</f>
        <v/>
      </c>
      <c r="G44" s="7"/>
      <c r="J44" t="str">
        <f>"Funktionsudstryk med "&amp;$R$5&amp;" betydende cifre:"</f>
        <v>Funktionsudstryk med 3 betydende cifre:</v>
      </c>
      <c r="O44" s="9"/>
      <c r="Q44" s="242"/>
      <c r="R44" s="242"/>
      <c r="S44" s="242"/>
      <c r="T44" s="242"/>
      <c r="U44" s="242" t="s">
        <v>5727</v>
      </c>
      <c r="V44" s="242" t="s">
        <v>5768</v>
      </c>
    </row>
    <row r="45" spans="2:22">
      <c r="B45" s="172"/>
      <c r="C45" s="172"/>
      <c r="D45" s="10" t="str">
        <f>IF(Table1[[#This Row],['[A'] / M]]="","",LN(Table1[[#This Row],['[A'] / M]]))</f>
        <v/>
      </c>
      <c r="E45" s="10" t="str">
        <f>IF(Table1[[#This Row],['[A'] / M]]="","",1/Table1[[#This Row],['[A'] / M]])</f>
        <v/>
      </c>
      <c r="G45" s="7"/>
      <c r="J45" t="str">
        <f>"1/"&amp;$R$6&amp;") = k"&amp;" ∙ t + 1/"&amp;R6&amp;"₀"</f>
        <v>1/[A]) = k ∙ t + 1/[A]₀</v>
      </c>
      <c r="O45" s="9"/>
      <c r="Q45" s="242"/>
      <c r="R45" s="242"/>
      <c r="S45" s="242"/>
      <c r="T45" s="242"/>
      <c r="U45" s="242" t="s">
        <v>5728</v>
      </c>
      <c r="V45" s="242" t="s">
        <v>5769</v>
      </c>
    </row>
    <row r="46" spans="2:22">
      <c r="B46" s="172"/>
      <c r="C46" s="172"/>
      <c r="D46" s="10" t="str">
        <f>IF(Table1[[#This Row],['[A'] / M]]="","",LN(Table1[[#This Row],['[A'] / M]]))</f>
        <v/>
      </c>
      <c r="E46" s="10" t="str">
        <f>IF(Table1[[#This Row],['[A'] / M]]="","",1/Table1[[#This Row],['[A'] / M]])</f>
        <v/>
      </c>
      <c r="G46" s="7"/>
      <c r="J46" t="str">
        <f>"1/"&amp;$R$6&amp;") = "&amp;N39&amp;" ∙ t + "&amp;N40</f>
        <v>1/[A]) =  M⁻¹∙s⁻¹ ∙ t +  M⁻¹</v>
      </c>
      <c r="O46" s="9"/>
      <c r="Q46" s="242"/>
      <c r="R46" s="242"/>
      <c r="S46" s="242"/>
      <c r="T46" s="242"/>
      <c r="U46" s="242" t="s">
        <v>5729</v>
      </c>
      <c r="V46" s="242" t="s">
        <v>5770</v>
      </c>
    </row>
    <row r="47" spans="2:22">
      <c r="B47" s="172"/>
      <c r="C47" s="172"/>
      <c r="D47" s="10" t="str">
        <f>IF(Table1[[#This Row],['[A'] / M]]="","",LN(Table1[[#This Row],['[A'] / M]]))</f>
        <v/>
      </c>
      <c r="E47" s="10" t="str">
        <f>IF(Table1[[#This Row],['[A'] / M]]="","",1/Table1[[#This Row],['[A'] / M]])</f>
        <v/>
      </c>
      <c r="G47" s="7"/>
      <c r="O47" s="9"/>
      <c r="Q47" s="242"/>
      <c r="R47" s="242"/>
      <c r="S47" s="242"/>
      <c r="T47" s="242"/>
      <c r="U47" s="242" t="s">
        <v>5730</v>
      </c>
      <c r="V47" s="242" t="s">
        <v>5771</v>
      </c>
    </row>
    <row r="48" spans="2:22">
      <c r="B48" s="172"/>
      <c r="C48" s="172"/>
      <c r="D48" s="10" t="str">
        <f>IF(Table1[[#This Row],['[A'] / M]]="","",LN(Table1[[#This Row],['[A'] / M]]))</f>
        <v/>
      </c>
      <c r="E48" s="10" t="str">
        <f>IF(Table1[[#This Row],['[A'] / M]]="","",1/Table1[[#This Row],['[A'] / M]])</f>
        <v/>
      </c>
      <c r="G48" s="7"/>
      <c r="J48" t="s">
        <v>5628</v>
      </c>
      <c r="O48" s="9"/>
      <c r="Q48" s="242"/>
      <c r="R48" s="242"/>
      <c r="S48" s="242"/>
      <c r="T48" s="242"/>
      <c r="U48" s="242" t="s">
        <v>5731</v>
      </c>
      <c r="V48" s="242" t="s">
        <v>5772</v>
      </c>
    </row>
    <row r="49" spans="2:22">
      <c r="B49" s="172"/>
      <c r="C49" s="172"/>
      <c r="D49" s="10" t="str">
        <f>IF(Table1[[#This Row],['[A'] / M]]="","",LN(Table1[[#This Row],['[A'] / M]]))</f>
        <v/>
      </c>
      <c r="E49" s="10" t="str">
        <f>IF(Table1[[#This Row],['[A'] / M]]="","",1/Table1[[#This Row],['[A'] / M]])</f>
        <v/>
      </c>
      <c r="G49" s="7"/>
      <c r="J49" t="str">
        <f>"v = "&amp;N39&amp;" ∙ "&amp;$R$6&amp;"²"</f>
        <v>v =  M⁻¹∙s⁻¹ ∙ [A]²</v>
      </c>
      <c r="O49" s="9"/>
      <c r="Q49" s="242"/>
      <c r="R49" s="242"/>
      <c r="S49" s="242"/>
      <c r="T49" s="242"/>
      <c r="U49" s="242" t="s">
        <v>5732</v>
      </c>
      <c r="V49" s="242" t="s">
        <v>5773</v>
      </c>
    </row>
    <row r="50" spans="2:22">
      <c r="B50" s="172"/>
      <c r="C50" s="172"/>
      <c r="D50" s="10" t="str">
        <f>IF(Table1[[#This Row],['[A'] / M]]="","",LN(Table1[[#This Row],['[A'] / M]]))</f>
        <v/>
      </c>
      <c r="E50" s="10" t="str">
        <f>IF(Table1[[#This Row],['[A'] / M]]="","",1/Table1[[#This Row],['[A'] / M]])</f>
        <v/>
      </c>
      <c r="G50" s="7"/>
      <c r="O50" s="9"/>
      <c r="Q50" s="242"/>
      <c r="R50" s="242"/>
      <c r="S50" s="242"/>
      <c r="T50" s="242"/>
      <c r="U50" s="242" t="s">
        <v>5733</v>
      </c>
      <c r="V50" s="242" t="s">
        <v>5774</v>
      </c>
    </row>
    <row r="51" spans="2:22">
      <c r="B51" s="172"/>
      <c r="C51" s="172"/>
      <c r="D51" s="10" t="str">
        <f>IF(Table1[[#This Row],['[A'] / M]]="","",LN(Table1[[#This Row],['[A'] / M]]))</f>
        <v/>
      </c>
      <c r="E51" s="10" t="str">
        <f>IF(Table1[[#This Row],['[A'] / M]]="","",1/Table1[[#This Row],['[A'] / M]])</f>
        <v/>
      </c>
      <c r="G51" s="7"/>
      <c r="O51" s="9"/>
      <c r="Q51" s="242"/>
      <c r="R51" s="242"/>
      <c r="S51" s="242"/>
      <c r="T51" s="242"/>
      <c r="U51" s="242"/>
      <c r="V51" s="242"/>
    </row>
    <row r="52" spans="2:22" ht="15.75" thickBot="1">
      <c r="B52" s="172"/>
      <c r="C52" s="172"/>
      <c r="D52" s="10" t="str">
        <f>IF(Table1[[#This Row],['[A'] / M]]="","",LN(Table1[[#This Row],['[A'] / M]]))</f>
        <v/>
      </c>
      <c r="E52" s="10" t="str">
        <f>IF(Table1[[#This Row],['[A'] / M]]="","",1/Table1[[#This Row],['[A'] / M]])</f>
        <v/>
      </c>
      <c r="G52" s="71"/>
      <c r="H52" s="68"/>
      <c r="I52" s="68"/>
      <c r="J52" s="68"/>
      <c r="K52" s="68"/>
      <c r="L52" s="68"/>
      <c r="M52" s="68"/>
      <c r="N52" s="68"/>
      <c r="O52" s="74"/>
      <c r="Q52" s="242"/>
      <c r="R52" s="242"/>
      <c r="S52" s="242"/>
      <c r="T52" s="242"/>
      <c r="U52" s="242"/>
      <c r="V52" s="242"/>
    </row>
    <row r="53" spans="2:22">
      <c r="B53" s="172"/>
      <c r="C53" s="172"/>
      <c r="D53" s="10" t="str">
        <f>IF(Table1[[#This Row],['[A'] / M]]="","",LN(Table1[[#This Row],['[A'] / M]]))</f>
        <v/>
      </c>
      <c r="E53" s="10" t="str">
        <f>IF(Table1[[#This Row],['[A'] / M]]="","",1/Table1[[#This Row],['[A'] / M]])</f>
        <v/>
      </c>
      <c r="Q53" s="242"/>
      <c r="R53" s="242"/>
      <c r="S53" s="242"/>
      <c r="T53" s="242"/>
      <c r="U53" s="242"/>
      <c r="V53" s="242"/>
    </row>
    <row r="54" spans="2:22">
      <c r="B54" s="172"/>
      <c r="C54" s="172"/>
      <c r="D54" s="10" t="str">
        <f>IF(Table1[[#This Row],['[A'] / M]]="","",LN(Table1[[#This Row],['[A'] / M]]))</f>
        <v/>
      </c>
      <c r="E54" s="10" t="str">
        <f>IF(Table1[[#This Row],['[A'] / M]]="","",1/Table1[[#This Row],['[A'] / M]])</f>
        <v/>
      </c>
      <c r="Q54" s="242"/>
      <c r="R54" s="242"/>
      <c r="S54" s="242"/>
      <c r="T54" s="242"/>
      <c r="U54" s="242"/>
      <c r="V54" s="242"/>
    </row>
    <row r="55" spans="2:22">
      <c r="B55" s="172"/>
      <c r="C55" s="172"/>
      <c r="D55" s="10" t="str">
        <f>IF(Table1[[#This Row],['[A'] / M]]="","",LN(Table1[[#This Row],['[A'] / M]]))</f>
        <v/>
      </c>
      <c r="E55" s="10" t="str">
        <f>IF(Table1[[#This Row],['[A'] / M]]="","",1/Table1[[#This Row],['[A'] / M]])</f>
        <v/>
      </c>
      <c r="Q55" s="242"/>
      <c r="R55" s="242"/>
      <c r="S55" s="242"/>
      <c r="T55" s="242"/>
      <c r="U55" s="242"/>
      <c r="V55" s="242"/>
    </row>
    <row r="56" spans="2:22">
      <c r="B56" s="172"/>
      <c r="C56" s="172"/>
      <c r="D56" s="10" t="str">
        <f>IF(Table1[[#This Row],['[A'] / M]]="","",LN(Table1[[#This Row],['[A'] / M]]))</f>
        <v/>
      </c>
      <c r="E56" s="10" t="str">
        <f>IF(Table1[[#This Row],['[A'] / M]]="","",1/Table1[[#This Row],['[A'] / M]])</f>
        <v/>
      </c>
      <c r="Q56" s="242"/>
      <c r="R56" s="242"/>
      <c r="S56" s="242"/>
      <c r="T56" s="242"/>
      <c r="U56" s="242"/>
      <c r="V56" s="242"/>
    </row>
    <row r="57" spans="2:22">
      <c r="B57" s="172"/>
      <c r="C57" s="172"/>
      <c r="D57" s="10" t="str">
        <f>IF(Table1[[#This Row],['[A'] / M]]="","",LN(Table1[[#This Row],['[A'] / M]]))</f>
        <v/>
      </c>
      <c r="E57" s="10" t="str">
        <f>IF(Table1[[#This Row],['[A'] / M]]="","",1/Table1[[#This Row],['[A'] / M]])</f>
        <v/>
      </c>
      <c r="Q57" s="242"/>
      <c r="R57" s="242"/>
      <c r="S57" s="242"/>
      <c r="T57" s="242"/>
      <c r="U57" s="242"/>
      <c r="V57" s="242"/>
    </row>
    <row r="58" spans="2:22">
      <c r="B58" s="172"/>
      <c r="C58" s="172"/>
      <c r="D58" s="10" t="str">
        <f>IF(Table1[[#This Row],['[A'] / M]]="","",LN(Table1[[#This Row],['[A'] / M]]))</f>
        <v/>
      </c>
      <c r="E58" s="10" t="str">
        <f>IF(Table1[[#This Row],['[A'] / M]]="","",1/Table1[[#This Row],['[A'] / M]])</f>
        <v/>
      </c>
      <c r="Q58" s="242"/>
      <c r="R58" s="242"/>
      <c r="S58" s="242"/>
      <c r="T58" s="242"/>
      <c r="U58" s="242"/>
      <c r="V58" s="242"/>
    </row>
    <row r="59" spans="2:22">
      <c r="B59" s="172"/>
      <c r="C59" s="172"/>
      <c r="D59" s="10" t="str">
        <f>IF(Table1[[#This Row],['[A'] / M]]="","",LN(Table1[[#This Row],['[A'] / M]]))</f>
        <v/>
      </c>
      <c r="E59" s="10" t="str">
        <f>IF(Table1[[#This Row],['[A'] / M]]="","",1/Table1[[#This Row],['[A'] / M]])</f>
        <v/>
      </c>
      <c r="Q59" s="242"/>
      <c r="R59" s="242"/>
      <c r="S59" s="242"/>
      <c r="T59" s="242"/>
      <c r="U59" s="242"/>
      <c r="V59" s="242"/>
    </row>
    <row r="60" spans="2:22">
      <c r="B60" s="172"/>
      <c r="C60" s="172"/>
      <c r="D60" s="10" t="str">
        <f>IF(Table1[[#This Row],['[A'] / M]]="","",LN(Table1[[#This Row],['[A'] / M]]))</f>
        <v/>
      </c>
      <c r="E60" s="10" t="str">
        <f>IF(Table1[[#This Row],['[A'] / M]]="","",1/Table1[[#This Row],['[A'] / M]])</f>
        <v/>
      </c>
      <c r="Q60" s="242"/>
      <c r="R60" s="242"/>
      <c r="S60" s="242"/>
      <c r="T60" s="242"/>
      <c r="U60" s="242"/>
      <c r="V60" s="242"/>
    </row>
    <row r="61" spans="2:22">
      <c r="B61" s="172"/>
      <c r="C61" s="172"/>
      <c r="D61" s="10" t="str">
        <f>IF(Table1[[#This Row],['[A'] / M]]="","",LN(Table1[[#This Row],['[A'] / M]]))</f>
        <v/>
      </c>
      <c r="E61" s="10" t="str">
        <f>IF(Table1[[#This Row],['[A'] / M]]="","",1/Table1[[#This Row],['[A'] / M]])</f>
        <v/>
      </c>
      <c r="Q61" s="242"/>
      <c r="R61" s="242"/>
      <c r="S61" s="242"/>
      <c r="T61" s="242"/>
      <c r="U61" s="242"/>
      <c r="V61" s="242"/>
    </row>
    <row r="62" spans="2:22">
      <c r="B62" s="172"/>
      <c r="C62" s="172"/>
      <c r="D62" s="10" t="str">
        <f>IF(Table1[[#This Row],['[A'] / M]]="","",LN(Table1[[#This Row],['[A'] / M]]))</f>
        <v/>
      </c>
      <c r="E62" s="10" t="str">
        <f>IF(Table1[[#This Row],['[A'] / M]]="","",1/Table1[[#This Row],['[A'] / M]])</f>
        <v/>
      </c>
      <c r="Q62" s="242"/>
      <c r="R62" s="242"/>
      <c r="S62" s="242"/>
      <c r="T62" s="242"/>
      <c r="U62" s="242"/>
      <c r="V62" s="242"/>
    </row>
    <row r="63" spans="2:22">
      <c r="B63" s="172"/>
      <c r="C63" s="172"/>
      <c r="D63" s="10" t="str">
        <f>IF(Table1[[#This Row],['[A'] / M]]="","",LN(Table1[[#This Row],['[A'] / M]]))</f>
        <v/>
      </c>
      <c r="E63" s="10" t="str">
        <f>IF(Table1[[#This Row],['[A'] / M]]="","",1/Table1[[#This Row],['[A'] / M]])</f>
        <v/>
      </c>
      <c r="Q63" s="242"/>
      <c r="R63" s="242"/>
      <c r="S63" s="242"/>
      <c r="T63" s="242"/>
      <c r="U63" s="242"/>
      <c r="V63" s="242"/>
    </row>
    <row r="64" spans="2:22">
      <c r="B64" s="172"/>
      <c r="C64" s="172"/>
      <c r="D64" s="10" t="str">
        <f>IF(Table1[[#This Row],['[A'] / M]]="","",LN(Table1[[#This Row],['[A'] / M]]))</f>
        <v/>
      </c>
      <c r="E64" s="10" t="str">
        <f>IF(Table1[[#This Row],['[A'] / M]]="","",1/Table1[[#This Row],['[A'] / M]])</f>
        <v/>
      </c>
      <c r="Q64" s="242"/>
      <c r="R64" s="242"/>
      <c r="S64" s="242"/>
      <c r="T64" s="242"/>
      <c r="U64" s="242"/>
      <c r="V64" s="242"/>
    </row>
    <row r="65" spans="2:22">
      <c r="B65" s="172"/>
      <c r="C65" s="172"/>
      <c r="D65" s="10" t="str">
        <f>IF(Table1[[#This Row],['[A'] / M]]="","",LN(Table1[[#This Row],['[A'] / M]]))</f>
        <v/>
      </c>
      <c r="E65" s="10" t="str">
        <f>IF(Table1[[#This Row],['[A'] / M]]="","",1/Table1[[#This Row],['[A'] / M]])</f>
        <v/>
      </c>
      <c r="Q65" s="242"/>
      <c r="R65" s="242"/>
      <c r="S65" s="242"/>
      <c r="T65" s="242"/>
      <c r="U65" s="242"/>
      <c r="V65" s="242"/>
    </row>
    <row r="66" spans="2:22">
      <c r="B66" s="172"/>
      <c r="C66" s="172"/>
      <c r="D66" s="10" t="str">
        <f>IF(Table1[[#This Row],['[A'] / M]]="","",LN(Table1[[#This Row],['[A'] / M]]))</f>
        <v/>
      </c>
      <c r="E66" s="10" t="str">
        <f>IF(Table1[[#This Row],['[A'] / M]]="","",1/Table1[[#This Row],['[A'] / M]])</f>
        <v/>
      </c>
      <c r="Q66" s="242"/>
      <c r="R66" s="242"/>
      <c r="S66" s="242"/>
      <c r="T66" s="242"/>
      <c r="U66" s="242"/>
      <c r="V66" s="242"/>
    </row>
    <row r="67" spans="2:22">
      <c r="B67" s="172"/>
      <c r="C67" s="172"/>
      <c r="D67" s="10" t="str">
        <f>IF(Table1[[#This Row],['[A'] / M]]="","",LN(Table1[[#This Row],['[A'] / M]]))</f>
        <v/>
      </c>
      <c r="E67" s="10" t="str">
        <f>IF(Table1[[#This Row],['[A'] / M]]="","",1/Table1[[#This Row],['[A'] / M]])</f>
        <v/>
      </c>
      <c r="Q67" s="242"/>
      <c r="R67" s="242"/>
      <c r="S67" s="242"/>
      <c r="T67" s="242"/>
      <c r="U67" s="242"/>
      <c r="V67" s="242"/>
    </row>
    <row r="68" spans="2:22">
      <c r="B68" s="172"/>
      <c r="C68" s="172"/>
      <c r="D68" s="10" t="str">
        <f>IF(Table1[[#This Row],['[A'] / M]]="","",LN(Table1[[#This Row],['[A'] / M]]))</f>
        <v/>
      </c>
      <c r="E68" s="10" t="str">
        <f>IF(Table1[[#This Row],['[A'] / M]]="","",1/Table1[[#This Row],['[A'] / M]])</f>
        <v/>
      </c>
      <c r="Q68" s="242"/>
      <c r="R68" s="242"/>
      <c r="S68" s="242"/>
      <c r="T68" s="242"/>
      <c r="U68" s="242"/>
      <c r="V68" s="242"/>
    </row>
    <row r="69" spans="2:22">
      <c r="B69" s="172"/>
      <c r="C69" s="172"/>
      <c r="D69" s="10" t="str">
        <f>IF(Table1[[#This Row],['[A'] / M]]="","",LN(Table1[[#This Row],['[A'] / M]]))</f>
        <v/>
      </c>
      <c r="E69" s="10" t="str">
        <f>IF(Table1[[#This Row],['[A'] / M]]="","",1/Table1[[#This Row],['[A'] / M]])</f>
        <v/>
      </c>
      <c r="Q69" s="242"/>
      <c r="R69" s="242"/>
      <c r="S69" s="242"/>
      <c r="T69" s="242"/>
      <c r="U69" s="242"/>
      <c r="V69" s="242"/>
    </row>
    <row r="70" spans="2:22">
      <c r="B70" s="172"/>
      <c r="C70" s="172"/>
      <c r="D70" s="10" t="str">
        <f>IF(Table1[[#This Row],['[A'] / M]]="","",LN(Table1[[#This Row],['[A'] / M]]))</f>
        <v/>
      </c>
      <c r="E70" s="10" t="str">
        <f>IF(Table1[[#This Row],['[A'] / M]]="","",1/Table1[[#This Row],['[A'] / M]])</f>
        <v/>
      </c>
      <c r="Q70" s="242"/>
      <c r="R70" s="242"/>
      <c r="S70" s="242"/>
      <c r="T70" s="242"/>
      <c r="U70" s="242"/>
      <c r="V70" s="242"/>
    </row>
    <row r="71" spans="2:22">
      <c r="B71" s="172"/>
      <c r="C71" s="172"/>
      <c r="D71" s="10" t="str">
        <f>IF(Table1[[#This Row],['[A'] / M]]="","",LN(Table1[[#This Row],['[A'] / M]]))</f>
        <v/>
      </c>
      <c r="E71" s="10" t="str">
        <f>IF(Table1[[#This Row],['[A'] / M]]="","",1/Table1[[#This Row],['[A'] / M]])</f>
        <v/>
      </c>
      <c r="Q71" s="242"/>
      <c r="R71" s="242"/>
      <c r="S71" s="242"/>
      <c r="T71" s="242"/>
      <c r="U71" s="242"/>
      <c r="V71" s="242"/>
    </row>
    <row r="72" spans="2:22">
      <c r="B72" s="172"/>
      <c r="C72" s="172"/>
      <c r="D72" s="10" t="str">
        <f>IF(Table1[[#This Row],['[A'] / M]]="","",LN(Table1[[#This Row],['[A'] / M]]))</f>
        <v/>
      </c>
      <c r="E72" s="10" t="str">
        <f>IF(Table1[[#This Row],['[A'] / M]]="","",1/Table1[[#This Row],['[A'] / M]])</f>
        <v/>
      </c>
      <c r="Q72" s="242"/>
      <c r="R72" s="242"/>
      <c r="S72" s="242"/>
      <c r="T72" s="242"/>
      <c r="U72" s="242"/>
      <c r="V72" s="242"/>
    </row>
    <row r="73" spans="2:22">
      <c r="B73" s="172"/>
      <c r="C73" s="172"/>
      <c r="D73" s="10" t="str">
        <f>IF(Table1[[#This Row],['[A'] / M]]="","",LN(Table1[[#This Row],['[A'] / M]]))</f>
        <v/>
      </c>
      <c r="E73" s="10" t="str">
        <f>IF(Table1[[#This Row],['[A'] / M]]="","",1/Table1[[#This Row],['[A'] / M]])</f>
        <v/>
      </c>
      <c r="Q73" s="242"/>
      <c r="R73" s="242"/>
      <c r="S73" s="242"/>
      <c r="T73" s="242"/>
      <c r="U73" s="242"/>
      <c r="V73" s="242"/>
    </row>
    <row r="74" spans="2:22">
      <c r="B74" s="172"/>
      <c r="C74" s="172"/>
      <c r="D74" s="10" t="str">
        <f>IF(Table1[[#This Row],['[A'] / M]]="","",LN(Table1[[#This Row],['[A'] / M]]))</f>
        <v/>
      </c>
      <c r="E74" s="10" t="str">
        <f>IF(Table1[[#This Row],['[A'] / M]]="","",1/Table1[[#This Row],['[A'] / M]])</f>
        <v/>
      </c>
      <c r="Q74" s="242"/>
      <c r="R74" s="242"/>
      <c r="S74" s="242"/>
      <c r="T74" s="242"/>
      <c r="U74" s="242"/>
      <c r="V74" s="242"/>
    </row>
    <row r="75" spans="2:22">
      <c r="B75" s="172"/>
      <c r="C75" s="172"/>
      <c r="D75" s="10" t="str">
        <f>IF(Table1[[#This Row],['[A'] / M]]="","",LN(Table1[[#This Row],['[A'] / M]]))</f>
        <v/>
      </c>
      <c r="E75" s="10" t="str">
        <f>IF(Table1[[#This Row],['[A'] / M]]="","",1/Table1[[#This Row],['[A'] / M]])</f>
        <v/>
      </c>
      <c r="Q75" s="242"/>
      <c r="R75" s="242"/>
      <c r="S75" s="242"/>
      <c r="T75" s="242"/>
      <c r="U75" s="242"/>
      <c r="V75" s="242"/>
    </row>
    <row r="76" spans="2:22">
      <c r="B76" s="172"/>
      <c r="C76" s="172"/>
      <c r="D76" s="10" t="str">
        <f>IF(Table1[[#This Row],['[A'] / M]]="","",LN(Table1[[#This Row],['[A'] / M]]))</f>
        <v/>
      </c>
      <c r="E76" s="10" t="str">
        <f>IF(Table1[[#This Row],['[A'] / M]]="","",1/Table1[[#This Row],['[A'] / M]])</f>
        <v/>
      </c>
      <c r="Q76" s="242"/>
      <c r="R76" s="242"/>
      <c r="S76" s="242"/>
      <c r="T76" s="242"/>
      <c r="U76" s="242"/>
      <c r="V76" s="242"/>
    </row>
    <row r="77" spans="2:22">
      <c r="B77" s="172"/>
      <c r="C77" s="172"/>
      <c r="D77" s="10" t="str">
        <f>IF(Table1[[#This Row],['[A'] / M]]="","",LN(Table1[[#This Row],['[A'] / M]]))</f>
        <v/>
      </c>
      <c r="E77" s="10" t="str">
        <f>IF(Table1[[#This Row],['[A'] / M]]="","",1/Table1[[#This Row],['[A'] / M]])</f>
        <v/>
      </c>
      <c r="Q77" s="242"/>
      <c r="R77" s="242"/>
      <c r="S77" s="242"/>
      <c r="T77" s="242"/>
      <c r="U77" s="242"/>
      <c r="V77" s="242"/>
    </row>
    <row r="78" spans="2:22">
      <c r="B78" s="172"/>
      <c r="C78" s="172"/>
      <c r="D78" s="10" t="str">
        <f>IF(Table1[[#This Row],['[A'] / M]]="","",LN(Table1[[#This Row],['[A'] / M]]))</f>
        <v/>
      </c>
      <c r="E78" s="10" t="str">
        <f>IF(Table1[[#This Row],['[A'] / M]]="","",1/Table1[[#This Row],['[A'] / M]])</f>
        <v/>
      </c>
      <c r="Q78" s="242"/>
      <c r="R78" s="242"/>
      <c r="S78" s="242"/>
      <c r="T78" s="242"/>
      <c r="U78" s="242"/>
      <c r="V78" s="242"/>
    </row>
    <row r="79" spans="2:22">
      <c r="B79" s="172"/>
      <c r="C79" s="172"/>
      <c r="D79" s="10" t="str">
        <f>IF(Table1[[#This Row],['[A'] / M]]="","",LN(Table1[[#This Row],['[A'] / M]]))</f>
        <v/>
      </c>
      <c r="E79" s="10" t="str">
        <f>IF(Table1[[#This Row],['[A'] / M]]="","",1/Table1[[#This Row],['[A'] / M]])</f>
        <v/>
      </c>
      <c r="Q79" s="242"/>
      <c r="R79" s="242"/>
      <c r="S79" s="242"/>
      <c r="T79" s="242"/>
      <c r="U79" s="242"/>
      <c r="V79" s="242"/>
    </row>
    <row r="80" spans="2:22">
      <c r="B80" s="172"/>
      <c r="C80" s="172"/>
      <c r="D80" s="10" t="str">
        <f>IF(Table1[[#This Row],['[A'] / M]]="","",LN(Table1[[#This Row],['[A'] / M]]))</f>
        <v/>
      </c>
      <c r="E80" s="10" t="str">
        <f>IF(Table1[[#This Row],['[A'] / M]]="","",1/Table1[[#This Row],['[A'] / M]])</f>
        <v/>
      </c>
      <c r="Q80" s="242"/>
      <c r="R80" s="242"/>
      <c r="S80" s="242"/>
      <c r="T80" s="242"/>
      <c r="U80" s="242"/>
      <c r="V80" s="242"/>
    </row>
    <row r="81" spans="2:22">
      <c r="B81" s="172"/>
      <c r="C81" s="172"/>
      <c r="D81" s="10" t="str">
        <f>IF(Table1[[#This Row],['[A'] / M]]="","",LN(Table1[[#This Row],['[A'] / M]]))</f>
        <v/>
      </c>
      <c r="E81" s="10" t="str">
        <f>IF(Table1[[#This Row],['[A'] / M]]="","",1/Table1[[#This Row],['[A'] / M]])</f>
        <v/>
      </c>
      <c r="Q81" s="242"/>
      <c r="R81" s="242"/>
      <c r="S81" s="242"/>
      <c r="T81" s="242"/>
      <c r="U81" s="242"/>
      <c r="V81" s="242"/>
    </row>
    <row r="82" spans="2:22">
      <c r="B82" s="172"/>
      <c r="C82" s="172"/>
      <c r="D82" s="10" t="str">
        <f>IF(Table1[[#This Row],['[A'] / M]]="","",LN(Table1[[#This Row],['[A'] / M]]))</f>
        <v/>
      </c>
      <c r="E82" s="10" t="str">
        <f>IF(Table1[[#This Row],['[A'] / M]]="","",1/Table1[[#This Row],['[A'] / M]])</f>
        <v/>
      </c>
      <c r="Q82" s="242"/>
      <c r="R82" s="242"/>
      <c r="S82" s="242"/>
      <c r="T82" s="242"/>
      <c r="U82" s="242"/>
      <c r="V82" s="242"/>
    </row>
    <row r="83" spans="2:22">
      <c r="B83" s="172"/>
      <c r="C83" s="172"/>
      <c r="D83" s="10" t="str">
        <f>IF(Table1[[#This Row],['[A'] / M]]="","",LN(Table1[[#This Row],['[A'] / M]]))</f>
        <v/>
      </c>
      <c r="E83" s="10" t="str">
        <f>IF(Table1[[#This Row],['[A'] / M]]="","",1/Table1[[#This Row],['[A'] / M]])</f>
        <v/>
      </c>
      <c r="Q83" s="242"/>
      <c r="R83" s="242"/>
      <c r="S83" s="242"/>
      <c r="T83" s="242"/>
      <c r="U83" s="242"/>
      <c r="V83" s="242"/>
    </row>
    <row r="84" spans="2:22">
      <c r="B84" s="172"/>
      <c r="C84" s="172"/>
      <c r="D84" s="10" t="str">
        <f>IF(Table1[[#This Row],['[A'] / M]]="","",LN(Table1[[#This Row],['[A'] / M]]))</f>
        <v/>
      </c>
      <c r="E84" s="10" t="str">
        <f>IF(Table1[[#This Row],['[A'] / M]]="","",1/Table1[[#This Row],['[A'] / M]])</f>
        <v/>
      </c>
      <c r="Q84" s="242"/>
      <c r="R84" s="242"/>
      <c r="S84" s="242"/>
      <c r="T84" s="242"/>
      <c r="U84" s="242"/>
      <c r="V84" s="242"/>
    </row>
    <row r="85" spans="2:22">
      <c r="B85" s="172"/>
      <c r="C85" s="172"/>
      <c r="D85" s="10" t="str">
        <f>IF(Table1[[#This Row],['[A'] / M]]="","",LN(Table1[[#This Row],['[A'] / M]]))</f>
        <v/>
      </c>
      <c r="E85" s="10" t="str">
        <f>IF(Table1[[#This Row],['[A'] / M]]="","",1/Table1[[#This Row],['[A'] / M]])</f>
        <v/>
      </c>
      <c r="Q85" s="242"/>
      <c r="R85" s="242"/>
      <c r="S85" s="242"/>
      <c r="T85" s="242"/>
      <c r="U85" s="242"/>
      <c r="V85" s="242"/>
    </row>
    <row r="86" spans="2:22">
      <c r="B86" s="172"/>
      <c r="C86" s="172"/>
      <c r="D86" s="10" t="str">
        <f>IF(Table1[[#This Row],['[A'] / M]]="","",LN(Table1[[#This Row],['[A'] / M]]))</f>
        <v/>
      </c>
      <c r="E86" s="10" t="str">
        <f>IF(Table1[[#This Row],['[A'] / M]]="","",1/Table1[[#This Row],['[A'] / M]])</f>
        <v/>
      </c>
      <c r="Q86" s="242"/>
      <c r="R86" s="242"/>
      <c r="S86" s="242"/>
      <c r="T86" s="242"/>
      <c r="U86" s="242"/>
      <c r="V86" s="242"/>
    </row>
    <row r="87" spans="2:22">
      <c r="B87" s="172"/>
      <c r="C87" s="172"/>
      <c r="D87" s="10" t="str">
        <f>IF(Table1[[#This Row],['[A'] / M]]="","",LN(Table1[[#This Row],['[A'] / M]]))</f>
        <v/>
      </c>
      <c r="E87" s="10" t="str">
        <f>IF(Table1[[#This Row],['[A'] / M]]="","",1/Table1[[#This Row],['[A'] / M]])</f>
        <v/>
      </c>
      <c r="Q87" s="242"/>
      <c r="R87" s="242"/>
      <c r="S87" s="242"/>
      <c r="T87" s="242"/>
      <c r="U87" s="242"/>
      <c r="V87" s="242"/>
    </row>
    <row r="88" spans="2:22">
      <c r="B88" s="172"/>
      <c r="C88" s="172"/>
      <c r="D88" s="10" t="str">
        <f>IF(Table1[[#This Row],['[A'] / M]]="","",LN(Table1[[#This Row],['[A'] / M]]))</f>
        <v/>
      </c>
      <c r="E88" s="10" t="str">
        <f>IF(Table1[[#This Row],['[A'] / M]]="","",1/Table1[[#This Row],['[A'] / M]])</f>
        <v/>
      </c>
      <c r="Q88" s="242"/>
      <c r="R88" s="242"/>
      <c r="S88" s="242"/>
      <c r="T88" s="242"/>
      <c r="U88" s="242"/>
      <c r="V88" s="242"/>
    </row>
    <row r="89" spans="2:22">
      <c r="B89" s="172"/>
      <c r="C89" s="172"/>
      <c r="D89" s="10" t="str">
        <f>IF(Table1[[#This Row],['[A'] / M]]="","",LN(Table1[[#This Row],['[A'] / M]]))</f>
        <v/>
      </c>
      <c r="E89" s="10" t="str">
        <f>IF(Table1[[#This Row],['[A'] / M]]="","",1/Table1[[#This Row],['[A'] / M]])</f>
        <v/>
      </c>
      <c r="Q89" s="242"/>
      <c r="R89" s="242"/>
      <c r="S89" s="242"/>
      <c r="T89" s="242"/>
      <c r="U89" s="242"/>
      <c r="V89" s="242"/>
    </row>
    <row r="90" spans="2:22">
      <c r="B90" s="172"/>
      <c r="C90" s="172"/>
      <c r="D90" s="10" t="str">
        <f>IF(Table1[[#This Row],['[A'] / M]]="","",LN(Table1[[#This Row],['[A'] / M]]))</f>
        <v/>
      </c>
      <c r="E90" s="10" t="str">
        <f>IF(Table1[[#This Row],['[A'] / M]]="","",1/Table1[[#This Row],['[A'] / M]])</f>
        <v/>
      </c>
      <c r="Q90" s="242"/>
      <c r="R90" s="242"/>
      <c r="S90" s="242"/>
      <c r="T90" s="242"/>
      <c r="U90" s="242"/>
      <c r="V90" s="242"/>
    </row>
    <row r="91" spans="2:22">
      <c r="B91" s="172"/>
      <c r="C91" s="172"/>
      <c r="D91" s="10" t="str">
        <f>IF(Table1[[#This Row],['[A'] / M]]="","",LN(Table1[[#This Row],['[A'] / M]]))</f>
        <v/>
      </c>
      <c r="E91" s="10" t="str">
        <f>IF(Table1[[#This Row],['[A'] / M]]="","",1/Table1[[#This Row],['[A'] / M]])</f>
        <v/>
      </c>
      <c r="Q91" s="242"/>
      <c r="R91" s="242"/>
      <c r="S91" s="242"/>
      <c r="T91" s="242"/>
      <c r="U91" s="242"/>
      <c r="V91" s="242"/>
    </row>
    <row r="92" spans="2:22">
      <c r="B92" s="172"/>
      <c r="C92" s="172"/>
      <c r="D92" s="10" t="str">
        <f>IF(Table1[[#This Row],['[A'] / M]]="","",LN(Table1[[#This Row],['[A'] / M]]))</f>
        <v/>
      </c>
      <c r="E92" s="10" t="str">
        <f>IF(Table1[[#This Row],['[A'] / M]]="","",1/Table1[[#This Row],['[A'] / M]])</f>
        <v/>
      </c>
      <c r="Q92" s="242"/>
      <c r="R92" s="242"/>
      <c r="S92" s="242"/>
      <c r="T92" s="242"/>
      <c r="U92" s="242"/>
      <c r="V92" s="242"/>
    </row>
    <row r="93" spans="2:22">
      <c r="B93" s="172"/>
      <c r="C93" s="172"/>
      <c r="D93" s="10" t="str">
        <f>IF(Table1[[#This Row],['[A'] / M]]="","",LN(Table1[[#This Row],['[A'] / M]]))</f>
        <v/>
      </c>
      <c r="E93" s="10" t="str">
        <f>IF(Table1[[#This Row],['[A'] / M]]="","",1/Table1[[#This Row],['[A'] / M]])</f>
        <v/>
      </c>
      <c r="Q93" s="242"/>
      <c r="R93" s="242"/>
      <c r="S93" s="242"/>
      <c r="T93" s="242"/>
      <c r="U93" s="242"/>
      <c r="V93" s="242"/>
    </row>
    <row r="94" spans="2:22">
      <c r="B94" s="172"/>
      <c r="C94" s="172"/>
      <c r="D94" s="10" t="str">
        <f>IF(Table1[[#This Row],['[A'] / M]]="","",LN(Table1[[#This Row],['[A'] / M]]))</f>
        <v/>
      </c>
      <c r="E94" s="10" t="str">
        <f>IF(Table1[[#This Row],['[A'] / M]]="","",1/Table1[[#This Row],['[A'] / M]])</f>
        <v/>
      </c>
      <c r="Q94" s="242"/>
      <c r="R94" s="242"/>
      <c r="S94" s="242"/>
      <c r="T94" s="242"/>
      <c r="U94" s="242"/>
      <c r="V94" s="242"/>
    </row>
    <row r="95" spans="2:22">
      <c r="B95" s="172"/>
      <c r="C95" s="172"/>
      <c r="D95" s="10" t="str">
        <f>IF(Table1[[#This Row],['[A'] / M]]="","",LN(Table1[[#This Row],['[A'] / M]]))</f>
        <v/>
      </c>
      <c r="E95" s="10" t="str">
        <f>IF(Table1[[#This Row],['[A'] / M]]="","",1/Table1[[#This Row],['[A'] / M]])</f>
        <v/>
      </c>
      <c r="Q95" s="242"/>
      <c r="R95" s="242"/>
      <c r="S95" s="242"/>
      <c r="T95" s="242"/>
      <c r="U95" s="242"/>
      <c r="V95" s="242"/>
    </row>
    <row r="96" spans="2:22">
      <c r="B96" s="172"/>
      <c r="C96" s="172"/>
      <c r="D96" s="10" t="str">
        <f>IF(Table1[[#This Row],['[A'] / M]]="","",LN(Table1[[#This Row],['[A'] / M]]))</f>
        <v/>
      </c>
      <c r="E96" s="10" t="str">
        <f>IF(Table1[[#This Row],['[A'] / M]]="","",1/Table1[[#This Row],['[A'] / M]])</f>
        <v/>
      </c>
      <c r="Q96" s="242"/>
      <c r="R96" s="242"/>
      <c r="S96" s="242"/>
      <c r="T96" s="242"/>
      <c r="U96" s="242"/>
      <c r="V96" s="242"/>
    </row>
    <row r="97" spans="2:22">
      <c r="B97" s="172"/>
      <c r="C97" s="172"/>
      <c r="D97" s="10" t="str">
        <f>IF(Table1[[#This Row],['[A'] / M]]="","",LN(Table1[[#This Row],['[A'] / M]]))</f>
        <v/>
      </c>
      <c r="E97" s="10" t="str">
        <f>IF(Table1[[#This Row],['[A'] / M]]="","",1/Table1[[#This Row],['[A'] / M]])</f>
        <v/>
      </c>
      <c r="Q97" s="242"/>
      <c r="R97" s="242"/>
      <c r="S97" s="242"/>
      <c r="T97" s="242"/>
      <c r="U97" s="242"/>
      <c r="V97" s="242"/>
    </row>
    <row r="98" spans="2:22">
      <c r="B98" s="172"/>
      <c r="C98" s="172"/>
      <c r="D98" s="10" t="str">
        <f>IF(Table1[[#This Row],['[A'] / M]]="","",LN(Table1[[#This Row],['[A'] / M]]))</f>
        <v/>
      </c>
      <c r="E98" s="10" t="str">
        <f>IF(Table1[[#This Row],['[A'] / M]]="","",1/Table1[[#This Row],['[A'] / M]])</f>
        <v/>
      </c>
      <c r="Q98" s="242"/>
      <c r="R98" s="242"/>
      <c r="S98" s="242"/>
      <c r="T98" s="242"/>
      <c r="U98" s="242"/>
      <c r="V98" s="242"/>
    </row>
    <row r="99" spans="2:22">
      <c r="B99" s="172"/>
      <c r="C99" s="172"/>
      <c r="D99" s="10" t="str">
        <f>IF(Table1[[#This Row],['[A'] / M]]="","",LN(Table1[[#This Row],['[A'] / M]]))</f>
        <v/>
      </c>
      <c r="E99" s="10" t="str">
        <f>IF(Table1[[#This Row],['[A'] / M]]="","",1/Table1[[#This Row],['[A'] / M]])</f>
        <v/>
      </c>
      <c r="Q99" s="242"/>
      <c r="R99" s="242"/>
      <c r="S99" s="242"/>
      <c r="T99" s="242"/>
      <c r="U99" s="242"/>
      <c r="V99" s="242"/>
    </row>
    <row r="100" spans="2:22">
      <c r="B100" s="174"/>
      <c r="C100" s="174"/>
      <c r="Q100" s="242"/>
      <c r="R100" s="242"/>
      <c r="S100" s="242"/>
      <c r="T100" s="242"/>
      <c r="U100" s="242"/>
      <c r="V100" s="242"/>
    </row>
    <row r="101" spans="2:22">
      <c r="B101" s="174"/>
      <c r="C101" s="174"/>
      <c r="Q101" s="242"/>
      <c r="R101" s="242"/>
      <c r="S101" s="242"/>
      <c r="T101" s="242"/>
      <c r="U101" s="242"/>
      <c r="V101" s="242"/>
    </row>
    <row r="102" spans="2:22">
      <c r="B102" s="174"/>
      <c r="C102" s="174"/>
      <c r="Q102" s="242"/>
      <c r="R102" s="242"/>
      <c r="S102" s="242"/>
      <c r="T102" s="242"/>
      <c r="U102" s="242"/>
      <c r="V102" s="242"/>
    </row>
    <row r="103" spans="2:22">
      <c r="B103" s="174"/>
      <c r="C103" s="174"/>
      <c r="Q103" s="242"/>
      <c r="R103" s="242"/>
      <c r="S103" s="242"/>
      <c r="T103" s="242"/>
      <c r="U103" s="242"/>
      <c r="V103" s="242"/>
    </row>
    <row r="104" spans="2:22">
      <c r="B104" s="174"/>
      <c r="C104" s="174"/>
      <c r="Q104" s="242"/>
      <c r="R104" s="242"/>
      <c r="S104" s="242"/>
      <c r="T104" s="242"/>
      <c r="U104" s="242"/>
      <c r="V104" s="242"/>
    </row>
    <row r="105" spans="2:22">
      <c r="B105" s="174"/>
      <c r="C105" s="174"/>
      <c r="Q105" s="242"/>
      <c r="R105" s="242"/>
      <c r="S105" s="242"/>
      <c r="T105" s="242"/>
      <c r="U105" s="242"/>
      <c r="V105" s="242"/>
    </row>
    <row r="106" spans="2:22">
      <c r="B106" s="174"/>
      <c r="C106" s="174"/>
      <c r="Q106" s="242"/>
      <c r="R106" s="242"/>
      <c r="S106" s="242"/>
      <c r="T106" s="242"/>
      <c r="U106" s="242"/>
      <c r="V106" s="242"/>
    </row>
    <row r="107" spans="2:22">
      <c r="B107" s="174"/>
      <c r="C107" s="174"/>
      <c r="Q107" s="242"/>
      <c r="R107" s="242"/>
      <c r="S107" s="242"/>
      <c r="T107" s="242"/>
      <c r="U107" s="242"/>
      <c r="V107" s="242"/>
    </row>
    <row r="108" spans="2:22">
      <c r="B108" s="174"/>
      <c r="C108" s="174"/>
      <c r="Q108" s="242"/>
      <c r="R108" s="242"/>
      <c r="S108" s="242"/>
      <c r="T108" s="242"/>
      <c r="U108" s="242"/>
      <c r="V108" s="242"/>
    </row>
    <row r="109" spans="2:22">
      <c r="B109" s="174"/>
      <c r="C109" s="174"/>
      <c r="Q109" s="242"/>
      <c r="R109" s="242"/>
      <c r="S109" s="242"/>
      <c r="T109" s="242"/>
      <c r="U109" s="242"/>
      <c r="V109" s="242"/>
    </row>
    <row r="110" spans="2:22">
      <c r="B110" s="174"/>
      <c r="C110" s="174"/>
      <c r="Q110" s="242"/>
      <c r="R110" s="242"/>
      <c r="S110" s="242"/>
      <c r="T110" s="242"/>
      <c r="U110" s="242"/>
      <c r="V110" s="242"/>
    </row>
    <row r="111" spans="2:22">
      <c r="B111" s="174"/>
      <c r="C111" s="174"/>
      <c r="Q111" s="242"/>
      <c r="R111" s="242"/>
      <c r="S111" s="242"/>
      <c r="T111" s="242"/>
      <c r="U111" s="242"/>
      <c r="V111" s="242"/>
    </row>
    <row r="112" spans="2:22">
      <c r="B112" s="174"/>
      <c r="C112" s="174"/>
      <c r="Q112" s="242"/>
      <c r="R112" s="242"/>
      <c r="S112" s="242"/>
      <c r="T112" s="242"/>
      <c r="U112" s="242"/>
      <c r="V112" s="242"/>
    </row>
    <row r="113" spans="2:22">
      <c r="B113" s="174"/>
      <c r="C113" s="174"/>
      <c r="Q113" s="242"/>
      <c r="R113" s="242"/>
      <c r="S113" s="242"/>
      <c r="T113" s="242"/>
      <c r="U113" s="242"/>
      <c r="V113" s="242"/>
    </row>
    <row r="114" spans="2:22">
      <c r="B114" s="174"/>
      <c r="C114" s="174"/>
      <c r="Q114" s="242"/>
      <c r="R114" s="242"/>
      <c r="S114" s="242"/>
      <c r="T114" s="242"/>
      <c r="U114" s="242"/>
      <c r="V114" s="242"/>
    </row>
    <row r="115" spans="2:22">
      <c r="B115" s="174"/>
      <c r="C115" s="174"/>
      <c r="Q115" s="242"/>
      <c r="R115" s="242"/>
      <c r="S115" s="242"/>
      <c r="T115" s="242"/>
      <c r="U115" s="242"/>
      <c r="V115" s="242"/>
    </row>
    <row r="116" spans="2:22">
      <c r="B116" s="174"/>
      <c r="C116" s="174"/>
      <c r="Q116" s="242"/>
      <c r="R116" s="242"/>
      <c r="S116" s="242"/>
      <c r="T116" s="242"/>
      <c r="U116" s="242"/>
      <c r="V116" s="242"/>
    </row>
    <row r="117" spans="2:22">
      <c r="B117" s="174"/>
      <c r="C117" s="174"/>
      <c r="Q117" s="242"/>
      <c r="R117" s="242"/>
      <c r="S117" s="242"/>
      <c r="T117" s="242"/>
      <c r="U117" s="242"/>
      <c r="V117" s="242"/>
    </row>
    <row r="118" spans="2:22">
      <c r="B118" s="174"/>
      <c r="C118" s="174"/>
      <c r="Q118" s="242"/>
      <c r="R118" s="242"/>
      <c r="S118" s="242"/>
      <c r="T118" s="242"/>
      <c r="U118" s="242"/>
      <c r="V118" s="242"/>
    </row>
    <row r="119" spans="2:22">
      <c r="B119" s="174"/>
      <c r="C119" s="174"/>
      <c r="Q119" s="242"/>
      <c r="R119" s="242"/>
      <c r="S119" s="242"/>
      <c r="T119" s="242"/>
      <c r="U119" s="242"/>
      <c r="V119" s="242"/>
    </row>
    <row r="120" spans="2:22">
      <c r="B120" s="174"/>
      <c r="C120" s="174"/>
      <c r="Q120" s="242"/>
      <c r="R120" s="242"/>
      <c r="S120" s="242"/>
      <c r="T120" s="242"/>
      <c r="U120" s="242"/>
      <c r="V120" s="242"/>
    </row>
    <row r="121" spans="2:22">
      <c r="B121" s="174"/>
      <c r="C121" s="174"/>
      <c r="Q121" s="242"/>
      <c r="R121" s="242"/>
      <c r="S121" s="242"/>
      <c r="T121" s="242"/>
      <c r="U121" s="242"/>
      <c r="V121" s="242"/>
    </row>
    <row r="122" spans="2:22">
      <c r="B122" s="174"/>
      <c r="C122" s="174"/>
      <c r="Q122" s="242"/>
      <c r="R122" s="242"/>
      <c r="S122" s="242"/>
      <c r="T122" s="242"/>
      <c r="U122" s="242"/>
      <c r="V122" s="242"/>
    </row>
    <row r="123" spans="2:22">
      <c r="B123" s="174"/>
      <c r="C123" s="174"/>
      <c r="Q123" s="242"/>
      <c r="R123" s="242"/>
      <c r="S123" s="242"/>
      <c r="T123" s="242"/>
      <c r="U123" s="242"/>
      <c r="V123" s="242"/>
    </row>
    <row r="124" spans="2:22">
      <c r="B124" s="174"/>
      <c r="C124" s="174"/>
      <c r="Q124" s="242"/>
      <c r="R124" s="242"/>
      <c r="S124" s="242"/>
      <c r="T124" s="242"/>
      <c r="U124" s="242"/>
      <c r="V124" s="242"/>
    </row>
    <row r="125" spans="2:22">
      <c r="B125" s="174"/>
      <c r="C125" s="174"/>
      <c r="Q125" s="242"/>
      <c r="R125" s="242"/>
      <c r="S125" s="242"/>
      <c r="T125" s="242"/>
      <c r="U125" s="242"/>
      <c r="V125" s="242"/>
    </row>
    <row r="126" spans="2:22">
      <c r="B126" s="174"/>
      <c r="C126" s="174"/>
      <c r="Q126" s="242"/>
      <c r="R126" s="242"/>
      <c r="S126" s="242"/>
      <c r="T126" s="242"/>
      <c r="U126" s="242"/>
      <c r="V126" s="242"/>
    </row>
    <row r="127" spans="2:22">
      <c r="B127" s="174"/>
      <c r="C127" s="174"/>
      <c r="Q127" s="242"/>
      <c r="R127" s="242"/>
      <c r="S127" s="242"/>
      <c r="T127" s="242"/>
      <c r="U127" s="242"/>
      <c r="V127" s="242"/>
    </row>
    <row r="128" spans="2:22">
      <c r="B128" s="174"/>
      <c r="C128" s="174"/>
      <c r="Q128" s="242"/>
      <c r="R128" s="242"/>
      <c r="S128" s="242"/>
      <c r="T128" s="242"/>
      <c r="U128" s="242"/>
      <c r="V128" s="242"/>
    </row>
    <row r="129" spans="2:22">
      <c r="B129" s="174"/>
      <c r="C129" s="174"/>
      <c r="Q129" s="242"/>
      <c r="R129" s="242"/>
      <c r="S129" s="242"/>
      <c r="T129" s="242"/>
      <c r="U129" s="242"/>
      <c r="V129" s="242"/>
    </row>
    <row r="130" spans="2:22">
      <c r="B130" s="174"/>
      <c r="C130" s="174"/>
      <c r="Q130" s="242"/>
      <c r="R130" s="242"/>
      <c r="S130" s="242"/>
      <c r="T130" s="242"/>
      <c r="U130" s="242"/>
      <c r="V130" s="242"/>
    </row>
    <row r="131" spans="2:22">
      <c r="B131" s="174"/>
      <c r="C131" s="174"/>
      <c r="Q131" s="242"/>
      <c r="R131" s="242"/>
      <c r="S131" s="242"/>
      <c r="T131" s="242"/>
      <c r="U131" s="242"/>
      <c r="V131" s="242"/>
    </row>
    <row r="132" spans="2:22">
      <c r="B132" s="174"/>
      <c r="C132" s="174"/>
      <c r="Q132" s="242"/>
      <c r="R132" s="242"/>
      <c r="S132" s="242"/>
      <c r="T132" s="242"/>
      <c r="U132" s="242"/>
      <c r="V132" s="242"/>
    </row>
    <row r="133" spans="2:22">
      <c r="B133" s="174"/>
      <c r="C133" s="174"/>
      <c r="Q133" s="242"/>
      <c r="R133" s="242"/>
      <c r="S133" s="242"/>
      <c r="T133" s="242"/>
      <c r="U133" s="242"/>
      <c r="V133" s="242"/>
    </row>
    <row r="134" spans="2:22">
      <c r="B134" s="174"/>
      <c r="C134" s="174"/>
      <c r="Q134" s="242"/>
      <c r="R134" s="242"/>
      <c r="S134" s="242"/>
      <c r="T134" s="242"/>
      <c r="U134" s="242"/>
      <c r="V134" s="242"/>
    </row>
    <row r="135" spans="2:22">
      <c r="B135" s="174"/>
      <c r="C135" s="174"/>
      <c r="Q135" s="242"/>
      <c r="R135" s="242"/>
      <c r="S135" s="242"/>
      <c r="T135" s="242"/>
      <c r="U135" s="242"/>
      <c r="V135" s="242"/>
    </row>
    <row r="136" spans="2:22">
      <c r="B136" s="174"/>
      <c r="C136" s="174"/>
      <c r="Q136" s="242"/>
      <c r="R136" s="242"/>
      <c r="S136" s="242"/>
      <c r="T136" s="242"/>
      <c r="U136" s="242"/>
      <c r="V136" s="242"/>
    </row>
    <row r="137" spans="2:22">
      <c r="B137" s="174"/>
      <c r="C137" s="174"/>
      <c r="Q137" s="242"/>
      <c r="R137" s="242"/>
      <c r="S137" s="242"/>
      <c r="T137" s="242"/>
      <c r="U137" s="242"/>
      <c r="V137" s="242"/>
    </row>
    <row r="138" spans="2:22">
      <c r="B138" s="174"/>
      <c r="C138" s="174"/>
      <c r="Q138" s="242"/>
      <c r="R138" s="242"/>
      <c r="S138" s="242"/>
      <c r="T138" s="242"/>
      <c r="U138" s="242"/>
      <c r="V138" s="242"/>
    </row>
    <row r="139" spans="2:22">
      <c r="B139" s="174"/>
      <c r="C139" s="174"/>
      <c r="Q139" s="242"/>
      <c r="R139" s="242"/>
      <c r="S139" s="242"/>
      <c r="T139" s="242"/>
      <c r="U139" s="242"/>
      <c r="V139" s="242"/>
    </row>
    <row r="140" spans="2:22">
      <c r="B140" s="174"/>
      <c r="C140" s="174"/>
      <c r="Q140" s="242"/>
      <c r="R140" s="242"/>
      <c r="S140" s="242"/>
      <c r="T140" s="242"/>
      <c r="U140" s="242"/>
      <c r="V140" s="242"/>
    </row>
    <row r="141" spans="2:22">
      <c r="B141" s="174"/>
      <c r="C141" s="174"/>
      <c r="Q141" s="242"/>
      <c r="R141" s="242"/>
      <c r="S141" s="242"/>
      <c r="T141" s="242"/>
      <c r="U141" s="242"/>
      <c r="V141" s="242"/>
    </row>
    <row r="142" spans="2:22">
      <c r="B142" s="174"/>
      <c r="C142" s="174"/>
      <c r="Q142" s="242"/>
      <c r="R142" s="242"/>
      <c r="S142" s="242"/>
      <c r="T142" s="242"/>
      <c r="U142" s="242"/>
      <c r="V142" s="242"/>
    </row>
    <row r="143" spans="2:22">
      <c r="B143" s="174"/>
      <c r="C143" s="174"/>
      <c r="Q143" s="242"/>
      <c r="R143" s="242"/>
      <c r="S143" s="242"/>
      <c r="T143" s="242"/>
      <c r="U143" s="242"/>
      <c r="V143" s="242"/>
    </row>
    <row r="144" spans="2:22">
      <c r="B144" s="174"/>
      <c r="C144" s="174"/>
      <c r="Q144" s="242"/>
      <c r="R144" s="242"/>
      <c r="S144" s="242"/>
      <c r="T144" s="242"/>
      <c r="U144" s="242"/>
      <c r="V144" s="242"/>
    </row>
    <row r="145" spans="2:22">
      <c r="B145" s="174"/>
      <c r="C145" s="174"/>
      <c r="Q145" s="242"/>
      <c r="R145" s="242"/>
      <c r="S145" s="242"/>
      <c r="T145" s="242"/>
      <c r="U145" s="242"/>
      <c r="V145" s="242"/>
    </row>
    <row r="146" spans="2:22">
      <c r="B146" s="174"/>
      <c r="C146" s="174"/>
      <c r="Q146" s="242"/>
      <c r="R146" s="242"/>
      <c r="S146" s="242"/>
      <c r="T146" s="242"/>
      <c r="U146" s="242"/>
      <c r="V146" s="242"/>
    </row>
    <row r="147" spans="2:22">
      <c r="B147" s="174"/>
      <c r="C147" s="174"/>
      <c r="Q147" s="242"/>
      <c r="R147" s="242"/>
      <c r="S147" s="242"/>
      <c r="T147" s="242"/>
      <c r="U147" s="242"/>
      <c r="V147" s="242"/>
    </row>
    <row r="148" spans="2:22">
      <c r="B148" s="174"/>
      <c r="C148" s="174"/>
      <c r="Q148" s="242"/>
      <c r="R148" s="242"/>
      <c r="S148" s="242"/>
      <c r="T148" s="242"/>
      <c r="U148" s="242"/>
      <c r="V148" s="242"/>
    </row>
    <row r="149" spans="2:22">
      <c r="B149" s="174"/>
      <c r="C149" s="174"/>
      <c r="Q149" s="242"/>
      <c r="R149" s="242"/>
      <c r="S149" s="242"/>
      <c r="T149" s="242"/>
      <c r="U149" s="242"/>
      <c r="V149" s="242"/>
    </row>
    <row r="150" spans="2:22">
      <c r="B150" s="174"/>
      <c r="C150" s="174"/>
      <c r="Q150" s="242"/>
      <c r="R150" s="242"/>
      <c r="S150" s="242"/>
      <c r="T150" s="242"/>
      <c r="U150" s="242"/>
      <c r="V150" s="242"/>
    </row>
    <row r="151" spans="2:22">
      <c r="B151" s="174"/>
      <c r="C151" s="174"/>
      <c r="Q151" s="242"/>
      <c r="R151" s="242"/>
      <c r="S151" s="242"/>
      <c r="T151" s="242"/>
      <c r="U151" s="242"/>
      <c r="V151" s="242"/>
    </row>
    <row r="152" spans="2:22">
      <c r="B152" s="174"/>
      <c r="C152" s="174"/>
      <c r="Q152" s="242"/>
      <c r="R152" s="242"/>
      <c r="S152" s="242"/>
      <c r="T152" s="242"/>
      <c r="U152" s="242"/>
      <c r="V152" s="242"/>
    </row>
    <row r="153" spans="2:22">
      <c r="B153" s="174"/>
      <c r="C153" s="174"/>
      <c r="Q153" s="242"/>
      <c r="R153" s="242"/>
      <c r="S153" s="242"/>
      <c r="T153" s="242"/>
      <c r="U153" s="242"/>
      <c r="V153" s="242"/>
    </row>
    <row r="154" spans="2:22">
      <c r="B154" s="174"/>
      <c r="C154" s="174"/>
      <c r="Q154" s="242"/>
      <c r="R154" s="242"/>
      <c r="S154" s="242"/>
      <c r="T154" s="242"/>
      <c r="U154" s="242"/>
      <c r="V154" s="242"/>
    </row>
    <row r="155" spans="2:22">
      <c r="B155" s="174"/>
      <c r="C155" s="174"/>
      <c r="Q155" s="242"/>
      <c r="R155" s="242"/>
      <c r="S155" s="242"/>
      <c r="T155" s="242"/>
      <c r="U155" s="242"/>
      <c r="V155" s="242"/>
    </row>
    <row r="156" spans="2:22">
      <c r="B156" s="174"/>
      <c r="C156" s="174"/>
      <c r="Q156" s="242"/>
      <c r="R156" s="242"/>
      <c r="S156" s="242"/>
      <c r="T156" s="242"/>
      <c r="U156" s="242"/>
      <c r="V156" s="242"/>
    </row>
    <row r="157" spans="2:22">
      <c r="B157" s="174"/>
      <c r="C157" s="174"/>
      <c r="Q157" s="242"/>
      <c r="R157" s="242"/>
      <c r="S157" s="242"/>
      <c r="T157" s="242"/>
      <c r="U157" s="242"/>
      <c r="V157" s="242"/>
    </row>
    <row r="158" spans="2:22">
      <c r="B158" s="174"/>
      <c r="C158" s="174"/>
      <c r="Q158" s="242"/>
      <c r="R158" s="242"/>
      <c r="S158" s="242"/>
      <c r="T158" s="242"/>
      <c r="U158" s="242"/>
      <c r="V158" s="242"/>
    </row>
    <row r="159" spans="2:22">
      <c r="B159" s="174"/>
      <c r="C159" s="174"/>
      <c r="Q159" s="242"/>
      <c r="R159" s="242"/>
      <c r="S159" s="242"/>
      <c r="T159" s="242"/>
      <c r="U159" s="242"/>
      <c r="V159" s="242"/>
    </row>
    <row r="160" spans="2:22">
      <c r="B160" s="174"/>
      <c r="C160" s="174"/>
      <c r="Q160" s="242"/>
      <c r="R160" s="242"/>
      <c r="S160" s="242"/>
      <c r="T160" s="242"/>
      <c r="U160" s="242"/>
      <c r="V160" s="242"/>
    </row>
    <row r="161" spans="2:22">
      <c r="B161" s="174"/>
      <c r="C161" s="174"/>
      <c r="Q161" s="242"/>
      <c r="R161" s="242"/>
      <c r="S161" s="242"/>
      <c r="T161" s="242"/>
      <c r="U161" s="242"/>
      <c r="V161" s="242"/>
    </row>
    <row r="162" spans="2:22">
      <c r="B162" s="174"/>
      <c r="C162" s="174"/>
      <c r="Q162" s="242"/>
      <c r="R162" s="242"/>
      <c r="S162" s="242"/>
      <c r="T162" s="242"/>
      <c r="U162" s="242"/>
      <c r="V162" s="242"/>
    </row>
    <row r="163" spans="2:22">
      <c r="B163" s="174"/>
      <c r="C163" s="174"/>
      <c r="Q163" s="242"/>
      <c r="R163" s="242"/>
      <c r="S163" s="242"/>
      <c r="T163" s="242"/>
      <c r="U163" s="242"/>
      <c r="V163" s="242"/>
    </row>
    <row r="164" spans="2:22">
      <c r="B164" s="174"/>
      <c r="C164" s="174"/>
      <c r="Q164" s="242"/>
      <c r="R164" s="242"/>
      <c r="S164" s="242"/>
      <c r="T164" s="242"/>
      <c r="U164" s="242"/>
      <c r="V164" s="242"/>
    </row>
    <row r="165" spans="2:22">
      <c r="B165" s="174"/>
      <c r="C165" s="174"/>
      <c r="Q165" s="242"/>
      <c r="R165" s="242"/>
      <c r="S165" s="242"/>
      <c r="T165" s="242"/>
      <c r="U165" s="242"/>
      <c r="V165" s="242"/>
    </row>
    <row r="166" spans="2:22">
      <c r="B166" s="174"/>
      <c r="C166" s="174"/>
      <c r="Q166" s="242"/>
      <c r="R166" s="242"/>
      <c r="S166" s="242"/>
      <c r="T166" s="242"/>
      <c r="U166" s="242"/>
      <c r="V166" s="242"/>
    </row>
    <row r="167" spans="2:22">
      <c r="B167" s="174"/>
      <c r="C167" s="174"/>
      <c r="Q167" s="242"/>
      <c r="R167" s="242"/>
      <c r="S167" s="242"/>
      <c r="T167" s="242"/>
      <c r="U167" s="242"/>
      <c r="V167" s="242"/>
    </row>
    <row r="168" spans="2:22">
      <c r="B168" s="174"/>
      <c r="C168" s="174"/>
      <c r="Q168" s="242"/>
      <c r="R168" s="242"/>
      <c r="S168" s="242"/>
      <c r="T168" s="242"/>
      <c r="U168" s="242"/>
      <c r="V168" s="242"/>
    </row>
    <row r="169" spans="2:22">
      <c r="B169" s="174"/>
      <c r="C169" s="174"/>
      <c r="Q169" s="242"/>
      <c r="R169" s="242"/>
      <c r="S169" s="242"/>
      <c r="T169" s="242"/>
      <c r="U169" s="242"/>
      <c r="V169" s="242"/>
    </row>
    <row r="170" spans="2:22">
      <c r="B170" s="174"/>
      <c r="C170" s="174"/>
      <c r="Q170" s="242"/>
      <c r="R170" s="242"/>
      <c r="S170" s="242"/>
      <c r="T170" s="242"/>
      <c r="U170" s="242"/>
      <c r="V170" s="242"/>
    </row>
    <row r="171" spans="2:22">
      <c r="B171" s="174"/>
      <c r="C171" s="174"/>
      <c r="Q171" s="242"/>
      <c r="R171" s="242"/>
      <c r="S171" s="242"/>
      <c r="T171" s="242"/>
      <c r="U171" s="242"/>
      <c r="V171" s="242"/>
    </row>
    <row r="172" spans="2:22">
      <c r="B172" s="174"/>
      <c r="C172" s="174"/>
      <c r="Q172" s="242"/>
      <c r="R172" s="242"/>
      <c r="S172" s="242"/>
      <c r="T172" s="242"/>
      <c r="U172" s="242"/>
      <c r="V172" s="242"/>
    </row>
    <row r="173" spans="2:22">
      <c r="B173" s="174"/>
      <c r="C173" s="174"/>
      <c r="Q173" s="242"/>
      <c r="R173" s="242"/>
      <c r="S173" s="242"/>
      <c r="T173" s="242"/>
      <c r="U173" s="242"/>
      <c r="V173" s="242"/>
    </row>
    <row r="174" spans="2:22">
      <c r="B174" s="174"/>
      <c r="C174" s="174"/>
      <c r="Q174" s="242"/>
      <c r="R174" s="242"/>
      <c r="S174" s="242"/>
      <c r="T174" s="242"/>
      <c r="U174" s="242"/>
      <c r="V174" s="242"/>
    </row>
    <row r="175" spans="2:22">
      <c r="B175" s="174"/>
      <c r="C175" s="174"/>
      <c r="Q175" s="242"/>
      <c r="R175" s="242"/>
      <c r="S175" s="242"/>
      <c r="T175" s="242"/>
      <c r="U175" s="242"/>
      <c r="V175" s="242"/>
    </row>
    <row r="176" spans="2:22">
      <c r="B176" s="174"/>
      <c r="C176" s="174"/>
      <c r="Q176" s="242"/>
      <c r="R176" s="242"/>
      <c r="S176" s="242"/>
      <c r="T176" s="242"/>
      <c r="U176" s="242"/>
      <c r="V176" s="242"/>
    </row>
    <row r="177" spans="2:22">
      <c r="B177" s="174"/>
      <c r="C177" s="174"/>
      <c r="Q177" s="242"/>
      <c r="R177" s="242"/>
      <c r="S177" s="242"/>
      <c r="T177" s="242"/>
      <c r="U177" s="242"/>
      <c r="V177" s="242"/>
    </row>
    <row r="178" spans="2:22">
      <c r="B178" s="174"/>
      <c r="C178" s="174"/>
      <c r="Q178" s="242"/>
      <c r="R178" s="242"/>
      <c r="S178" s="242"/>
      <c r="T178" s="242"/>
      <c r="U178" s="242"/>
      <c r="V178" s="242"/>
    </row>
    <row r="179" spans="2:22">
      <c r="B179" s="174"/>
      <c r="C179" s="174"/>
      <c r="Q179" s="242"/>
      <c r="R179" s="242"/>
      <c r="S179" s="242"/>
      <c r="T179" s="242"/>
      <c r="U179" s="242"/>
      <c r="V179" s="242"/>
    </row>
    <row r="180" spans="2:22">
      <c r="B180" s="174"/>
      <c r="C180" s="174"/>
      <c r="Q180" s="242"/>
      <c r="R180" s="242"/>
      <c r="S180" s="242"/>
      <c r="T180" s="242"/>
      <c r="U180" s="242"/>
      <c r="V180" s="242"/>
    </row>
    <row r="181" spans="2:22">
      <c r="B181" s="174"/>
      <c r="C181" s="174"/>
      <c r="Q181" s="242"/>
      <c r="R181" s="242"/>
      <c r="S181" s="242"/>
      <c r="T181" s="242"/>
      <c r="U181" s="242"/>
      <c r="V181" s="242"/>
    </row>
    <row r="182" spans="2:22">
      <c r="B182" s="174"/>
      <c r="C182" s="174"/>
      <c r="Q182" s="242"/>
      <c r="R182" s="242"/>
      <c r="S182" s="242"/>
      <c r="T182" s="242"/>
      <c r="U182" s="242"/>
      <c r="V182" s="242"/>
    </row>
    <row r="183" spans="2:22">
      <c r="B183" s="174"/>
      <c r="C183" s="174"/>
      <c r="Q183" s="242"/>
      <c r="R183" s="242"/>
      <c r="S183" s="242"/>
      <c r="T183" s="242"/>
      <c r="U183" s="242"/>
      <c r="V183" s="242"/>
    </row>
    <row r="184" spans="2:22">
      <c r="B184" s="174"/>
      <c r="C184" s="174"/>
      <c r="Q184" s="242"/>
      <c r="R184" s="242"/>
      <c r="S184" s="242"/>
      <c r="T184" s="242"/>
      <c r="U184" s="242"/>
      <c r="V184" s="242"/>
    </row>
    <row r="185" spans="2:22">
      <c r="B185" s="174"/>
      <c r="C185" s="174"/>
      <c r="Q185" s="242"/>
      <c r="R185" s="242"/>
      <c r="S185" s="242"/>
      <c r="T185" s="242"/>
      <c r="U185" s="242"/>
      <c r="V185" s="242"/>
    </row>
    <row r="186" spans="2:22">
      <c r="B186" s="174"/>
      <c r="C186" s="174"/>
      <c r="Q186" s="242"/>
      <c r="R186" s="242"/>
      <c r="S186" s="242"/>
      <c r="T186" s="242"/>
      <c r="U186" s="242"/>
      <c r="V186" s="242"/>
    </row>
    <row r="187" spans="2:22">
      <c r="B187" s="174"/>
      <c r="C187" s="174"/>
      <c r="Q187" s="242"/>
      <c r="R187" s="242"/>
      <c r="S187" s="242"/>
      <c r="T187" s="242"/>
      <c r="U187" s="242"/>
      <c r="V187" s="242"/>
    </row>
    <row r="188" spans="2:22">
      <c r="B188" s="174"/>
      <c r="C188" s="174"/>
      <c r="Q188" s="242"/>
      <c r="R188" s="242"/>
      <c r="S188" s="242"/>
      <c r="T188" s="242"/>
      <c r="U188" s="242"/>
      <c r="V188" s="242"/>
    </row>
    <row r="189" spans="2:22">
      <c r="B189" s="174"/>
      <c r="C189" s="174"/>
      <c r="Q189" s="242"/>
      <c r="R189" s="242"/>
      <c r="S189" s="242"/>
      <c r="T189" s="242"/>
      <c r="U189" s="242"/>
      <c r="V189" s="242"/>
    </row>
    <row r="190" spans="2:22">
      <c r="B190" s="174"/>
      <c r="C190" s="174"/>
      <c r="Q190" s="242"/>
      <c r="R190" s="242"/>
      <c r="S190" s="242"/>
      <c r="T190" s="242"/>
      <c r="U190" s="242"/>
      <c r="V190" s="242"/>
    </row>
    <row r="191" spans="2:22">
      <c r="B191" s="174"/>
      <c r="C191" s="174"/>
      <c r="Q191" s="242"/>
      <c r="R191" s="242"/>
      <c r="S191" s="242"/>
      <c r="T191" s="242"/>
      <c r="U191" s="242"/>
      <c r="V191" s="242"/>
    </row>
    <row r="192" spans="2:22">
      <c r="B192" s="174"/>
      <c r="C192" s="174"/>
      <c r="Q192" s="242"/>
      <c r="R192" s="242"/>
      <c r="S192" s="242"/>
      <c r="T192" s="242"/>
      <c r="U192" s="242"/>
      <c r="V192" s="242"/>
    </row>
    <row r="193" spans="2:22">
      <c r="B193" s="174"/>
      <c r="C193" s="174"/>
      <c r="Q193" s="242"/>
      <c r="R193" s="242"/>
      <c r="S193" s="242"/>
      <c r="T193" s="242"/>
      <c r="U193" s="242"/>
      <c r="V193" s="242"/>
    </row>
    <row r="194" spans="2:22">
      <c r="B194" s="174"/>
      <c r="C194" s="174"/>
      <c r="Q194" s="242"/>
      <c r="R194" s="242"/>
      <c r="S194" s="242"/>
      <c r="T194" s="242"/>
      <c r="U194" s="242"/>
      <c r="V194" s="242"/>
    </row>
    <row r="195" spans="2:22">
      <c r="B195" s="174"/>
      <c r="C195" s="174"/>
      <c r="Q195" s="242"/>
      <c r="R195" s="242"/>
      <c r="S195" s="242"/>
      <c r="T195" s="242"/>
      <c r="U195" s="242"/>
      <c r="V195" s="242"/>
    </row>
    <row r="196" spans="2:22">
      <c r="B196" s="174"/>
      <c r="C196" s="174"/>
      <c r="Q196" s="242"/>
      <c r="R196" s="242"/>
      <c r="S196" s="242"/>
      <c r="T196" s="242"/>
      <c r="U196" s="242"/>
      <c r="V196" s="242"/>
    </row>
    <row r="197" spans="2:22">
      <c r="B197" s="174"/>
      <c r="C197" s="174"/>
    </row>
    <row r="198" spans="2:22">
      <c r="B198" s="174"/>
      <c r="C198" s="174"/>
    </row>
    <row r="199" spans="2:22">
      <c r="B199" s="174"/>
      <c r="C199" s="174"/>
    </row>
    <row r="200" spans="2:22">
      <c r="B200" s="174"/>
      <c r="C200" s="174"/>
    </row>
    <row r="201" spans="2:22">
      <c r="B201" s="174"/>
      <c r="C201" s="174"/>
    </row>
    <row r="202" spans="2:22">
      <c r="B202" s="174"/>
      <c r="C202" s="174"/>
    </row>
    <row r="203" spans="2:22">
      <c r="B203" s="174"/>
      <c r="C203" s="174"/>
    </row>
    <row r="204" spans="2:22">
      <c r="B204" s="174"/>
      <c r="C204" s="174"/>
    </row>
    <row r="205" spans="2:22">
      <c r="B205" s="174"/>
      <c r="C205" s="174"/>
    </row>
    <row r="206" spans="2:22">
      <c r="B206" s="174"/>
      <c r="C206" s="174"/>
    </row>
    <row r="207" spans="2:22">
      <c r="B207" s="174"/>
      <c r="C207" s="174"/>
    </row>
    <row r="208" spans="2:22">
      <c r="B208" s="174"/>
      <c r="C208" s="174"/>
    </row>
    <row r="209" spans="2:3">
      <c r="B209" s="174"/>
      <c r="C209" s="174"/>
    </row>
    <row r="210" spans="2:3">
      <c r="B210" s="174"/>
      <c r="C210" s="174"/>
    </row>
    <row r="211" spans="2:3">
      <c r="B211" s="174"/>
      <c r="C211" s="174"/>
    </row>
    <row r="212" spans="2:3">
      <c r="B212" s="174"/>
      <c r="C212" s="174"/>
    </row>
    <row r="213" spans="2:3">
      <c r="B213" s="174"/>
      <c r="C213" s="174"/>
    </row>
    <row r="214" spans="2:3">
      <c r="B214" s="174"/>
      <c r="C214" s="174"/>
    </row>
    <row r="215" spans="2:3">
      <c r="B215" s="174"/>
      <c r="C215" s="174"/>
    </row>
    <row r="216" spans="2:3">
      <c r="B216" s="174"/>
      <c r="C216" s="174"/>
    </row>
    <row r="217" spans="2:3">
      <c r="B217" s="174"/>
      <c r="C217" s="174"/>
    </row>
    <row r="218" spans="2:3">
      <c r="B218" s="174"/>
      <c r="C218" s="174"/>
    </row>
    <row r="219" spans="2:3">
      <c r="B219" s="174"/>
      <c r="C219" s="174"/>
    </row>
    <row r="220" spans="2:3">
      <c r="B220" s="174"/>
      <c r="C220" s="174"/>
    </row>
    <row r="221" spans="2:3">
      <c r="B221" s="174"/>
      <c r="C221" s="174"/>
    </row>
    <row r="222" spans="2:3">
      <c r="B222" s="174"/>
      <c r="C222" s="174"/>
    </row>
    <row r="223" spans="2:3">
      <c r="B223" s="174"/>
      <c r="C223" s="174"/>
    </row>
    <row r="224" spans="2:3">
      <c r="B224" s="174"/>
      <c r="C224" s="174"/>
    </row>
    <row r="225" spans="2:3">
      <c r="B225" s="174"/>
      <c r="C225" s="174"/>
    </row>
    <row r="226" spans="2:3">
      <c r="B226" s="174"/>
      <c r="C226" s="174"/>
    </row>
    <row r="227" spans="2:3">
      <c r="B227" s="174"/>
      <c r="C227" s="174"/>
    </row>
    <row r="228" spans="2:3">
      <c r="B228" s="174"/>
      <c r="C228" s="174"/>
    </row>
    <row r="229" spans="2:3">
      <c r="B229" s="174"/>
      <c r="C229" s="174"/>
    </row>
    <row r="230" spans="2:3">
      <c r="B230" s="174"/>
      <c r="C230" s="174"/>
    </row>
    <row r="231" spans="2:3">
      <c r="B231" s="174"/>
      <c r="C231" s="174"/>
    </row>
    <row r="232" spans="2:3">
      <c r="B232" s="174"/>
      <c r="C232" s="174"/>
    </row>
    <row r="233" spans="2:3">
      <c r="B233" s="174"/>
      <c r="C233" s="174"/>
    </row>
    <row r="234" spans="2:3">
      <c r="B234" s="174"/>
      <c r="C234" s="174"/>
    </row>
    <row r="235" spans="2:3">
      <c r="B235" s="174"/>
      <c r="C235" s="174"/>
    </row>
    <row r="236" spans="2:3">
      <c r="B236" s="174"/>
      <c r="C236" s="174"/>
    </row>
    <row r="237" spans="2:3">
      <c r="B237" s="174"/>
      <c r="C237" s="174"/>
    </row>
    <row r="238" spans="2:3">
      <c r="B238" s="174"/>
      <c r="C238" s="174"/>
    </row>
    <row r="239" spans="2:3">
      <c r="B239" s="174"/>
      <c r="C239" s="174"/>
    </row>
    <row r="240" spans="2:3">
      <c r="B240" s="174"/>
      <c r="C240" s="174"/>
    </row>
    <row r="241" spans="2:3">
      <c r="B241" s="174"/>
      <c r="C241" s="174"/>
    </row>
    <row r="242" spans="2:3">
      <c r="B242" s="174"/>
      <c r="C242" s="174"/>
    </row>
    <row r="243" spans="2:3">
      <c r="B243" s="174"/>
      <c r="C243" s="174"/>
    </row>
    <row r="244" spans="2:3">
      <c r="B244" s="174"/>
      <c r="C244" s="174"/>
    </row>
    <row r="245" spans="2:3">
      <c r="B245" s="174"/>
      <c r="C245" s="174"/>
    </row>
    <row r="246" spans="2:3">
      <c r="B246" s="174"/>
      <c r="C246" s="174"/>
    </row>
  </sheetData>
  <conditionalFormatting sqref="K5">
    <cfRule type="colorScale" priority="3">
      <colorScale>
        <cfvo type="num" val="0.85"/>
        <cfvo type="num" val="1"/>
        <color rgb="FFFF7128"/>
        <color theme="9"/>
      </colorScale>
    </cfRule>
  </conditionalFormatting>
  <conditionalFormatting sqref="K21">
    <cfRule type="colorScale" priority="2">
      <colorScale>
        <cfvo type="num" val="0.85"/>
        <cfvo type="num" val="1"/>
        <color rgb="FFFF7128"/>
        <color theme="9"/>
      </colorScale>
    </cfRule>
  </conditionalFormatting>
  <conditionalFormatting sqref="K37">
    <cfRule type="colorScale" priority="1">
      <colorScale>
        <cfvo type="num" val="0.85"/>
        <cfvo type="num" val="1"/>
        <color rgb="FFFF7128"/>
        <color theme="9"/>
      </colorScale>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11C6-9D84-45CF-B399-A62E671654E5}">
  <dimension ref="A1:Y99"/>
  <sheetViews>
    <sheetView zoomScale="130" zoomScaleNormal="130" workbookViewId="0"/>
  </sheetViews>
  <sheetFormatPr defaultRowHeight="15"/>
  <cols>
    <col min="1" max="1" width="36.85546875" customWidth="1"/>
    <col min="2" max="2" width="11.85546875" customWidth="1"/>
    <col min="3" max="3" width="11.7109375" customWidth="1"/>
    <col min="4" max="4" width="13.140625" customWidth="1"/>
    <col min="5" max="5" width="11" customWidth="1"/>
    <col min="8" max="8" width="77.42578125" customWidth="1"/>
    <col min="10" max="10" width="32" customWidth="1"/>
    <col min="11" max="11" width="12.85546875" bestFit="1" customWidth="1"/>
    <col min="14" max="14" width="28.42578125" customWidth="1"/>
  </cols>
  <sheetData>
    <row r="1" spans="1:25" ht="31.5">
      <c r="C1" s="167" t="s">
        <v>5629</v>
      </c>
      <c r="R1" t="s">
        <v>5848</v>
      </c>
    </row>
    <row r="2" spans="1:25" ht="18.75">
      <c r="J2" s="193" t="s">
        <v>5630</v>
      </c>
      <c r="K2" s="140"/>
      <c r="L2" s="140"/>
      <c r="M2" s="140"/>
      <c r="N2" s="121"/>
      <c r="R2" s="242" t="str">
        <f>IF(B3="","A",B3)</f>
        <v>A</v>
      </c>
    </row>
    <row r="3" spans="1:25">
      <c r="J3" s="126"/>
      <c r="N3" s="125"/>
      <c r="R3" s="242" t="str">
        <f>IF(B4="","s⁻¹",B4)</f>
        <v>s⁻¹</v>
      </c>
    </row>
    <row r="4" spans="1:25">
      <c r="A4" s="10" t="s">
        <v>5631</v>
      </c>
      <c r="B4" s="271"/>
      <c r="J4" s="127" t="s">
        <v>101</v>
      </c>
      <c r="K4" s="195" t="s">
        <v>5666</v>
      </c>
      <c r="L4" s="195" t="s">
        <v>5780</v>
      </c>
      <c r="M4" s="195"/>
      <c r="N4" s="128" t="str">
        <f>"Afrundet til "&amp;R5&amp;" betydende cifre:"</f>
        <v>Afrundet til 4 betydende cifre:</v>
      </c>
      <c r="R4" s="242" t="str">
        <f>IF(B5="","°C",B5)</f>
        <v>°C</v>
      </c>
      <c r="X4" t="s">
        <v>5776</v>
      </c>
      <c r="Y4" t="s">
        <v>5777</v>
      </c>
    </row>
    <row r="5" spans="1:25">
      <c r="A5" s="10" t="s">
        <v>5632</v>
      </c>
      <c r="B5" s="271"/>
      <c r="J5" s="126" t="s">
        <v>5633</v>
      </c>
      <c r="K5" t="e">
        <f>CORREL(Table13[[#All],[1/'[A'] / M⁻¹]],Table13[[#All],[ln '[A']]])^2</f>
        <v>#DIV/0!</v>
      </c>
      <c r="N5" s="125"/>
      <c r="R5" s="242">
        <f>IF(B6="",4,IF(B6&lt;2,2,IF(NOT(ISNUMBER(B6)),4,IF(B6&gt;7,7,B6))))</f>
        <v>4</v>
      </c>
    </row>
    <row r="6" spans="1:25">
      <c r="A6" s="10" t="s">
        <v>8</v>
      </c>
      <c r="B6" s="271"/>
      <c r="J6" s="126" t="s">
        <v>5634</v>
      </c>
      <c r="K6" t="e">
        <f>SLOPE(Table13[[#All],[1/'[A'] / M⁻¹]],Table13[[#All],[ln '[A']]])</f>
        <v>#DIV/0!</v>
      </c>
      <c r="L6" t="s">
        <v>37</v>
      </c>
      <c r="N6" s="125" t="str">
        <f>Y6&amp;" "&amp;L6</f>
        <v xml:space="preserve"> K</v>
      </c>
      <c r="R6" s="242" t="str">
        <f>IF(R3="bar","p("&amp;R2&amp;")","["&amp;R2&amp;"]")</f>
        <v>[A]</v>
      </c>
      <c r="T6" s="175"/>
      <c r="X6" t="str">
        <f>IFERROR(IF(
    OR(ABS(K6)&lt;0.001,ABS(K6)&gt;MIN(10^($R$5)-1,9999)),
    TEXT(K6, "0," &amp; REPT("0", $R$5-1) &amp; "E+00"),
    IF(K6="","",
IF(INT(LOG10(ABS(K6)))+1=$R$5,TEXT(K6,"0"),
TEXT(IF(K6&lt;0,"-","")&amp;LEFT(TEXT(ABS(K6),"0,"&amp;REPT("0",$R$5-1)&amp;"E+00"),$R$5+1)*10^FLOOR(LOG10(TEXT(ABS(K6),"0,"&amp;REPT("0",$R$5-1)&amp;"E+00")),1),(""&amp;(IF(OR(AND(FLOOR(LOG10(TEXT(ABS(K6),"0,"&amp;REPT("0",$R$5-1)&amp;"E+00")),1)+1=$R$5,RIGHT(LEFT(TEXT(ABS(K6),"0,"&amp;REPT("0",$R$5-1)&amp;"E+00"),$R$5+1)*10^FLOOR(LOG10(TEXT(ABS(K6),"0,"&amp;REPT("0",$R$5-1)&amp;"E+00")),1),1)="0"),LOG10(TEXT(ABS(K6),"0,"&amp;REPT("0",$R$5-1)&amp;"E+00"))&lt;=$R$5-1),"0,","#")&amp;REPT("0",IF($R$5-1-(FLOOR(LOG10(TEXT(ABS(K6),"0,"&amp;REPT("0",$R$5-1)&amp;"E+00")),1))&gt;0,$R$5-1-(FLOOR(LOG10(TEXT(ABS(K6),"0,"&amp;REPT("0",$R$5-1)&amp;"E+00")),1)),0))))))
)),"")</f>
        <v/>
      </c>
      <c r="Y6"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6,$U$10,$V$10),$U$11,$V$11),$U$12,$V$12),$U$13,$V$13),$U$14,$V$14),$U$15,$V$15),$U$16,$V$16),$U$17,$V$17),$U$18,$V$18),$U$19,$V$19),$U$20,$V$20),$U$21,$V$21),$U$22,$V$22),$U$23,$V$23),$U$24,$V$24),$U$25,$V$25),$U$26,$V$26),$U$27,$V$27),$U$28,$V$28),$U$29,$V$29),$U$30,$V$30),$U$31,$V$31),$U$32,$V$32),$U$33,$V$33),$U$34,$V$34),$U$35,$V$35),$U$36,$V$36),$U$37,$V$37),
$U$38,$V$38),$U$39,$V$39),$U$40,$V$40),$U$41,$V$41),$U$42,$V$42),$U$43,$V$43),$U$44,$V$44),$U$45,$V$45),$U$46,$V$46),$U$47,$V$47),$U$48,$V$48),$U$49,$V$49)</f>
        <v/>
      </c>
    </row>
    <row r="7" spans="1:25">
      <c r="J7" s="126" t="s">
        <v>5635</v>
      </c>
      <c r="N7" s="125"/>
      <c r="R7" s="242" t="str">
        <f>"ln(k) vs 1/T"</f>
        <v>ln(k) vs 1/T</v>
      </c>
      <c r="S7" s="175"/>
      <c r="T7" s="175"/>
    </row>
    <row r="8" spans="1:25">
      <c r="A8" t="s">
        <v>5850</v>
      </c>
      <c r="J8" s="126"/>
      <c r="N8" s="125"/>
      <c r="R8" t="e" cm="1" vm="1">
        <f t="array" ref="R8">_xlfn._xlws.FILTER(Table13[[#All],[ln '[A']]:[1/'[A'] / M⁻¹]],Table13[[#All],[ln '[A']]]&lt;&gt;"")</f>
        <v>#VALUE!</v>
      </c>
    </row>
    <row r="9" spans="1:25" ht="18.75">
      <c r="B9" s="176" t="str">
        <f>"t/ "&amp;B5</f>
        <v xml:space="preserve">t/ </v>
      </c>
      <c r="C9" s="176" t="str">
        <f>"k"&amp;" / "&amp;R3&amp;""</f>
        <v>k / s⁻¹</v>
      </c>
      <c r="D9" s="176" t="s">
        <v>5636</v>
      </c>
      <c r="E9" s="335" t="str">
        <f>"1/T angivet i K⁻¹"</f>
        <v>1/T angivet i K⁻¹</v>
      </c>
      <c r="F9" s="176" t="str">
        <f>"ln(k)"</f>
        <v>ln(k)</v>
      </c>
      <c r="J9" s="126" t="s">
        <v>5778</v>
      </c>
      <c r="K9" s="196" t="e">
        <f>"ln(k) = "&amp;N6&amp;" ∙ 1/T + "&amp;N15</f>
        <v>#DIV/0!</v>
      </c>
      <c r="N9" s="125"/>
    </row>
    <row r="10" spans="1:25">
      <c r="B10" s="271"/>
      <c r="C10" s="271"/>
      <c r="D10" s="107" t="str">
        <f>IF(Table13[[#This Row],[t / s]]="","",IF($B$5="K",Table13[[#This Row],[t / s]],Table13[[#This Row],[t / s]]+273.15))</f>
        <v/>
      </c>
      <c r="E10" s="107" t="str">
        <f>IF(Table13[[#This Row],[t / s]]="","",1/Table13[[#This Row],[Column1]])</f>
        <v/>
      </c>
      <c r="F10" s="107" t="str">
        <f>IF(Table13[[#This Row],['[A'] / M]]="","",LN(Table13[[#This Row],['[A'] / M]]))</f>
        <v/>
      </c>
      <c r="J10" s="126"/>
      <c r="N10" s="125"/>
      <c r="U10" t="s">
        <v>5694</v>
      </c>
      <c r="V10" t="s">
        <v>5736</v>
      </c>
    </row>
    <row r="11" spans="1:25">
      <c r="B11" s="271"/>
      <c r="C11" s="271"/>
      <c r="D11" s="107" t="str">
        <f>IF(Table13[[#This Row],[t / s]]="","",IF($B$5="K",Table13[[#This Row],[t / s]],Table13[[#This Row],[t / s]]+273.15))</f>
        <v/>
      </c>
      <c r="E11" s="107" t="str">
        <f>IF(Table13[[#This Row],[t / s]]="","",1/Table13[[#This Row],[Column1]])</f>
        <v/>
      </c>
      <c r="F11" s="107" t="str">
        <f>IF(Table13[[#This Row],['[A'] / M]]="","",LN(Table13[[#This Row],['[A'] / M]]))</f>
        <v/>
      </c>
      <c r="J11" s="126" t="s">
        <v>5779</v>
      </c>
      <c r="N11" s="125"/>
      <c r="U11" t="s">
        <v>5695</v>
      </c>
      <c r="V11" t="s">
        <v>5737</v>
      </c>
    </row>
    <row r="12" spans="1:25" ht="15.75" thickBot="1">
      <c r="B12" s="271"/>
      <c r="C12" s="271"/>
      <c r="D12" s="107" t="str">
        <f>IF(Table13[[#This Row],[t / s]]="","",IF($B$5="K",Table13[[#This Row],[t / s]],Table13[[#This Row],[t / s]]+273.15))</f>
        <v/>
      </c>
      <c r="E12" s="107" t="str">
        <f>IF(Table13[[#This Row],[t / s]]="","",1/Table13[[#This Row],[Column1]])</f>
        <v/>
      </c>
      <c r="F12" s="107" t="str">
        <f>IF(Table13[[#This Row],['[A'] / M]]="","",LN(Table13[[#This Row],['[A'] / M]]))</f>
        <v/>
      </c>
      <c r="J12" s="126" t="s">
        <v>5637</v>
      </c>
      <c r="K12" t="e">
        <f>K6*-1*8.31446261815324/1000</f>
        <v>#DIV/0!</v>
      </c>
      <c r="L12" t="s">
        <v>5775</v>
      </c>
      <c r="N12" s="194" t="str">
        <f>Y12&amp;L12</f>
        <v xml:space="preserve"> kJ/mol</v>
      </c>
      <c r="U12" t="s">
        <v>5696</v>
      </c>
      <c r="V12" t="s">
        <v>5738</v>
      </c>
      <c r="X12" t="str">
        <f>IFERROR(IF(
    OR(ABS(K12)&lt;0.001,ABS(K12)&gt;MIN(10^($R$5)-1,9999)),
    TEXT(K12, "0," &amp; REPT("0", $R$5-1) &amp; "E+00"),
    IF(K12="","",
IF(INT(LOG10(ABS(K12)))+1=$R$5,TEXT(K12,"0"),
TEXT(IF(K12&lt;0,"-","")&amp;LEFT(TEXT(ABS(K12),"0,"&amp;REPT("0",$R$5-1)&amp;"E+00"),$R$5+1)*10^FLOOR(LOG10(TEXT(ABS(K12),"0,"&amp;REPT("0",$R$5-1)&amp;"E+00")),1),(""&amp;(IF(OR(AND(FLOOR(LOG10(TEXT(ABS(K12),"0,"&amp;REPT("0",$R$5-1)&amp;"E+00")),1)+1=$R$5,RIGHT(LEFT(TEXT(ABS(K12),"0,"&amp;REPT("0",$R$5-1)&amp;"E+00"),$R$5+1)*10^FLOOR(LOG10(TEXT(ABS(K12),"0,"&amp;REPT("0",$R$5-1)&amp;"E+00")),1),1)="0"),LOG10(TEXT(ABS(K12),"0,"&amp;REPT("0",$R$5-1)&amp;"E+00"))&lt;=$R$5-1),"0,","#")&amp;REPT("0",IF($R$5-1-(FLOOR(LOG10(TEXT(ABS(K12),"0,"&amp;REPT("0",$R$5-1)&amp;"E+00")),1))&gt;0,$R$5-1-(FLOOR(LOG10(TEXT(ABS(K12),"0,"&amp;REPT("0",$R$5-1)&amp;"E+00")),1)),0))))))
)),"")</f>
        <v/>
      </c>
      <c r="Y1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12,$U$10,$V$10),$U$11,$V$11),$U$12,$V$12),$U$13,$V$13),$U$14,$V$14),$U$15,$V$15),$U$16,$V$16),$U$17,$V$17),$U$18,$V$18),$U$19,$V$19),$U$20,$V$20),$U$21,$V$21),$U$22,$V$22),$U$23,$V$23),$U$24,$V$24),$U$25,$V$25),$U$26,$V$26),$U$27,$V$27),$U$28,$V$28),$U$29,$V$29),$U$30,$V$30),$U$31,$V$31),$U$32,$V$32),$U$33,$V$33),$U$34,$V$34),$U$35,$V$35),$U$36,$V$36),$U$37,$V$37),
$U$38,$V$38),$U$39,$V$39),$U$40,$V$40),$U$41,$V$41),$U$42,$V$42),$U$43,$V$43),$U$44,$V$44),$U$45,$V$45),$U$46,$V$46),$U$47,$V$47),$U$48,$V$48),$U$49,$V$49)</f>
        <v/>
      </c>
    </row>
    <row r="13" spans="1:25" ht="15.75" thickTop="1">
      <c r="B13" s="271"/>
      <c r="C13" s="271"/>
      <c r="D13" s="107" t="str">
        <f>IF(Table13[[#This Row],[t / s]]="","",IF($B$5="K",Table13[[#This Row],[t / s]],Table13[[#This Row],[t / s]]+273.15))</f>
        <v/>
      </c>
      <c r="E13" s="107" t="str">
        <f>IF(Table13[[#This Row],[t / s]]="","",1/Table13[[#This Row],[Column1]])</f>
        <v/>
      </c>
      <c r="F13" s="107" t="str">
        <f>IF(Table13[[#This Row],['[A'] / M]]="","",LN(Table13[[#This Row],['[A'] / M]]))</f>
        <v/>
      </c>
      <c r="J13" s="126"/>
      <c r="N13" s="125"/>
      <c r="U13" t="s">
        <v>5697</v>
      </c>
      <c r="V13" t="s">
        <v>5739</v>
      </c>
    </row>
    <row r="14" spans="1:25">
      <c r="B14" s="271"/>
      <c r="C14" s="271"/>
      <c r="D14" s="107" t="str">
        <f>IF(Table13[[#This Row],[t / s]]="","",IF($B$5="K",Table13[[#This Row],[t / s]],Table13[[#This Row],[t / s]]+273.15))</f>
        <v/>
      </c>
      <c r="E14" s="107" t="str">
        <f>IF(Table13[[#This Row],[t / s]]="","",1/Table13[[#This Row],[Column1]])</f>
        <v/>
      </c>
      <c r="F14" s="107" t="str">
        <f>IF(Table13[[#This Row],['[A'] / M]]="","",LN(Table13[[#This Row],['[A'] / M]]))</f>
        <v/>
      </c>
      <c r="J14" s="126" t="s">
        <v>5638</v>
      </c>
      <c r="N14" s="125"/>
      <c r="T14" s="175"/>
      <c r="U14" t="s">
        <v>5698</v>
      </c>
      <c r="V14" t="s">
        <v>5740</v>
      </c>
    </row>
    <row r="15" spans="1:25">
      <c r="B15" s="271"/>
      <c r="C15" s="271"/>
      <c r="D15" s="107" t="str">
        <f>IF(Table13[[#This Row],[t / s]]="","",IF($B$5="K",Table13[[#This Row],[t / s]],Table13[[#This Row],[t / s]]+273.15))</f>
        <v/>
      </c>
      <c r="E15" s="107" t="str">
        <f>IF(Table13[[#This Row],[t / s]]="","",1/Table13[[#This Row],[Column1]])</f>
        <v/>
      </c>
      <c r="F15" s="107" t="str">
        <f>IF(Table13[[#This Row],['[A'] / M]]="","",LN(Table13[[#This Row],['[A'] / M]]))</f>
        <v/>
      </c>
      <c r="J15" s="126" t="s">
        <v>5639</v>
      </c>
      <c r="K15" t="e">
        <f>INTERCEPT(Table13[[#All],[1/'[A'] / M⁻¹]],Table13[[#All],[ln '[A']]])</f>
        <v>#DIV/0!</v>
      </c>
      <c r="N15" s="125" t="e">
        <f>TEXT(IF(K15&lt;0,"-","")&amp;LEFT(TEXT(ABS(K15),"0,"&amp;REPT("0",$R$5-1)&amp;"E+00"),$R$5+1)*10^FLOOR(LOG10(TEXT(ABS(K15),"0,"&amp;REPT("0",$R$5-1)&amp;"E+00")),1),(""&amp;(IF(OR(AND(FLOOR(LOG10(TEXT(ABS(K15),"0,"&amp;REPT("0",$R$5-1)&amp;"E+00")),1)+1=$R$5,RIGHT(LEFT(TEXT(ABS(K15),"0,"&amp;REPT("0",$R$5-1)&amp;"E+00"),$R$5+1)*10^FLOOR(LOG10(TEXT(ABS(K15),"0,"&amp;REPT("0",$R$5-1)&amp;"E+00")),1),1)="0"),LOG10(TEXT(ABS(K15),"0,"&amp;REPT("0",$R$5-1)&amp;"E+00"))&lt;=$R$5-1),"0,","#")&amp;REPT("0",IF($R$5-1-(FLOOR(LOG10(TEXT(ABS(K15),"0,"&amp;REPT("0",$R$5-1)&amp;"E+00")),1))&gt;0,$R$5-1-(FLOOR(LOG10(TEXT(ABS(K15),"0,"&amp;REPT("0",$R$5-1)&amp;"E+00")),1)),0)))))</f>
        <v>#DIV/0!</v>
      </c>
      <c r="R15" s="175"/>
      <c r="S15" s="175"/>
      <c r="T15" s="175"/>
      <c r="U15" t="s">
        <v>5699</v>
      </c>
      <c r="V15" t="s">
        <v>5741</v>
      </c>
      <c r="X15" t="str">
        <f>IFERROR(IF(
    OR(ABS(K15)&lt;0.001,ABS(K15)&gt;MIN(10^($R$5)-1,9999)),
    TEXT(K15, "0," &amp; REPT("0", $R$5-1) &amp; "E+00"),
    IF(K15="","",
IF(INT(LOG10(ABS(K15)))+1=$R$5,TEXT(K15,"0"),
TEXT(IF(K15&lt;0,"-","")&amp;LEFT(TEXT(ABS(K15),"0,"&amp;REPT("0",$R$5-1)&amp;"E+00"),$R$5+1)*10^FLOOR(LOG10(TEXT(ABS(K15),"0,"&amp;REPT("0",$R$5-1)&amp;"E+00")),1),(""&amp;(IF(OR(AND(FLOOR(LOG10(TEXT(ABS(K15),"0,"&amp;REPT("0",$R$5-1)&amp;"E+00")),1)+1=$R$5,RIGHT(LEFT(TEXT(ABS(K15),"0,"&amp;REPT("0",$R$5-1)&amp;"E+00"),$R$5+1)*10^FLOOR(LOG10(TEXT(ABS(K15),"0,"&amp;REPT("0",$R$5-1)&amp;"E+00")),1),1)="0"),LOG10(TEXT(ABS(K15),"0,"&amp;REPT("0",$R$5-1)&amp;"E+00"))&lt;=$R$5-1),"0,","#")&amp;REPT("0",IF($R$5-1-(FLOOR(LOG10(TEXT(ABS(K15),"0,"&amp;REPT("0",$R$5-1)&amp;"E+00")),1))&gt;0,$R$5-1-(FLOOR(LOG10(TEXT(ABS(K15),"0,"&amp;REPT("0",$R$5-1)&amp;"E+00")),1)),0))))))
)),"")</f>
        <v/>
      </c>
      <c r="Y15"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15,$U$10,$V$10),$U$11,$V$11),$U$12,$V$12),$U$13,$V$13),$U$14,$V$14),$U$15,$V$15),$U$16,$V$16),$U$17,$V$17),$U$18,$V$18),$U$19,$V$19),$U$20,$V$20),$U$21,$V$21),$U$22,$V$22),$U$23,$V$23),$U$24,$V$24),$U$25,$V$25),$U$26,$V$26),$U$27,$V$27),$U$28,$V$28),$U$29,$V$29),$U$30,$V$30),$U$31,$V$31),$U$32,$V$32),$U$33,$V$33),$U$34,$V$34),$U$35,$V$35),$U$36,$V$36),$U$37,$V$37),
$U$38,$V$38),$U$39,$V$39),$U$40,$V$40),$U$41,$V$41),$U$42,$V$42),$U$43,$V$43),$U$44,$V$44),$U$45,$V$45),$U$46,$V$46),$U$47,$V$47),$U$48,$V$48),$U$49,$V$49)</f>
        <v/>
      </c>
    </row>
    <row r="16" spans="1:25" ht="15.75" thickBot="1">
      <c r="B16" s="271"/>
      <c r="C16" s="271"/>
      <c r="D16" s="107" t="str">
        <f>IF(Table13[[#This Row],[t / s]]="","",IF($B$5="K",Table13[[#This Row],[t / s]],Table13[[#This Row],[t / s]]+273.15))</f>
        <v/>
      </c>
      <c r="E16" s="107" t="str">
        <f>IF(Table13[[#This Row],[t / s]]="","",1/Table13[[#This Row],[Column1]])</f>
        <v/>
      </c>
      <c r="F16" s="107" t="str">
        <f>IF(Table13[[#This Row],['[A'] / M]]="","",LN(Table13[[#This Row],['[A'] / M]]))</f>
        <v/>
      </c>
      <c r="J16" s="126" t="s">
        <v>5640</v>
      </c>
      <c r="K16" t="e">
        <f>EXP(K15)</f>
        <v>#DIV/0!</v>
      </c>
      <c r="L16">
        <f>B4</f>
        <v>0</v>
      </c>
      <c r="N16" s="194" t="str">
        <f>Y16&amp;" "&amp;L16</f>
        <v xml:space="preserve"> 0</v>
      </c>
      <c r="R16" s="175"/>
      <c r="S16" s="175"/>
      <c r="T16" s="175"/>
      <c r="U16" t="s">
        <v>5700</v>
      </c>
      <c r="V16" t="s">
        <v>5742</v>
      </c>
      <c r="X16" t="str">
        <f>IFERROR(IF(
    OR(ABS(K16)&lt;0.001,ABS(K16)&gt;MIN(10^($R$5)-1,9999)),
    TEXT(K16, "0," &amp; REPT("0", $R$5-1) &amp; "E+00"),
    IF(K16="","",
IF(INT(LOG10(ABS(K16)))+1=$R$5,TEXT(K16,"0"),
TEXT(IF(K16&lt;0,"-","")&amp;LEFT(TEXT(ABS(K16),"0,"&amp;REPT("0",$R$5-1)&amp;"E+00"),$R$5+1)*10^FLOOR(LOG10(TEXT(ABS(K16),"0,"&amp;REPT("0",$R$5-1)&amp;"E+00")),1),(""&amp;(IF(OR(AND(FLOOR(LOG10(TEXT(ABS(K16),"0,"&amp;REPT("0",$R$5-1)&amp;"E+00")),1)+1=$R$5,RIGHT(LEFT(TEXT(ABS(K16),"0,"&amp;REPT("0",$R$5-1)&amp;"E+00"),$R$5+1)*10^FLOOR(LOG10(TEXT(ABS(K16),"0,"&amp;REPT("0",$R$5-1)&amp;"E+00")),1),1)="0"),LOG10(TEXT(ABS(K16),"0,"&amp;REPT("0",$R$5-1)&amp;"E+00"))&lt;=$R$5-1),"0,","#")&amp;REPT("0",IF($R$5-1-(FLOOR(LOG10(TEXT(ABS(K16),"0,"&amp;REPT("0",$R$5-1)&amp;"E+00")),1))&gt;0,$R$5-1-(FLOOR(LOG10(TEXT(ABS(K16),"0,"&amp;REPT("0",$R$5-1)&amp;"E+00")),1)),0))))))
)),"")</f>
        <v/>
      </c>
      <c r="Y16"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16,$U$10,$V$10),$U$11,$V$11),$U$12,$V$12),$U$13,$V$13),$U$14,$V$14),$U$15,$V$15),$U$16,$V$16),$U$17,$V$17),$U$18,$V$18),$U$19,$V$19),$U$20,$V$20),$U$21,$V$21),$U$22,$V$22),$U$23,$V$23),$U$24,$V$24),$U$25,$V$25),$U$26,$V$26),$U$27,$V$27),$U$28,$V$28),$U$29,$V$29),$U$30,$V$30),$U$31,$V$31),$U$32,$V$32),$U$33,$V$33),$U$34,$V$34),$U$35,$V$35),$U$36,$V$36),$U$37,$V$37),
$U$38,$V$38),$U$39,$V$39),$U$40,$V$40),$U$41,$V$41),$U$42,$V$42),$U$43,$V$43),$U$44,$V$44),$U$45,$V$45),$U$46,$V$46),$U$47,$V$47),$U$48,$V$48),$U$49,$V$49)</f>
        <v/>
      </c>
    </row>
    <row r="17" spans="2:22" ht="15.75" thickTop="1">
      <c r="B17" s="271"/>
      <c r="C17" s="271"/>
      <c r="D17" s="107" t="str">
        <f>IF(Table13[[#This Row],[t / s]]="","",IF($B$5="K",Table13[[#This Row],[t / s]],Table13[[#This Row],[t / s]]+273.15))</f>
        <v/>
      </c>
      <c r="E17" s="107" t="str">
        <f>IF(Table13[[#This Row],[t / s]]="","",1/Table13[[#This Row],[Column1]])</f>
        <v/>
      </c>
      <c r="F17" s="107" t="str">
        <f>IF(Table13[[#This Row],['[A'] / M]]="","",LN(Table13[[#This Row],['[A'] / M]]))</f>
        <v/>
      </c>
      <c r="J17" s="127"/>
      <c r="K17" s="195"/>
      <c r="L17" s="195"/>
      <c r="M17" s="195"/>
      <c r="N17" s="128"/>
      <c r="R17" s="175"/>
      <c r="S17" s="175"/>
      <c r="T17" s="175"/>
      <c r="U17" t="s">
        <v>5701</v>
      </c>
      <c r="V17" t="s">
        <v>5743</v>
      </c>
    </row>
    <row r="18" spans="2:22">
      <c r="B18" s="271"/>
      <c r="C18" s="271"/>
      <c r="D18" s="107" t="str">
        <f>IF(Table13[[#This Row],[t / s]]="","",IF($B$5="K",Table13[[#This Row],[t / s]],Table13[[#This Row],[t / s]]+273.15))</f>
        <v/>
      </c>
      <c r="E18" s="107" t="str">
        <f>IF(Table13[[#This Row],[t / s]]="","",1/Table13[[#This Row],[Column1]])</f>
        <v/>
      </c>
      <c r="F18" s="107" t="str">
        <f>IF(Table13[[#This Row],['[A'] / M]]="","",LN(Table13[[#This Row],['[A'] / M]]))</f>
        <v/>
      </c>
      <c r="R18" s="175"/>
      <c r="U18" t="s">
        <v>5702</v>
      </c>
      <c r="V18" t="s">
        <v>5744</v>
      </c>
    </row>
    <row r="19" spans="2:22">
      <c r="B19" s="271"/>
      <c r="C19" s="271"/>
      <c r="D19" s="107" t="str">
        <f>IF(Table13[[#This Row],[t / s]]="","",IF($B$5="K",Table13[[#This Row],[t / s]],Table13[[#This Row],[t / s]]+273.15))</f>
        <v/>
      </c>
      <c r="E19" s="107" t="str">
        <f>IF(Table13[[#This Row],[t / s]]="","",1/Table13[[#This Row],[Column1]])</f>
        <v/>
      </c>
      <c r="F19" s="107" t="str">
        <f>IF(Table13[[#This Row],['[A'] / M]]="","",LN(Table13[[#This Row],['[A'] / M]]))</f>
        <v/>
      </c>
      <c r="R19" s="175"/>
      <c r="U19" t="s">
        <v>5703</v>
      </c>
      <c r="V19" t="s">
        <v>5745</v>
      </c>
    </row>
    <row r="20" spans="2:22">
      <c r="B20" s="271"/>
      <c r="C20" s="271"/>
      <c r="D20" s="107" t="str">
        <f>IF(Table13[[#This Row],[t / s]]="","",IF($B$5="K",Table13[[#This Row],[t / s]],Table13[[#This Row],[t / s]]+273.15))</f>
        <v/>
      </c>
      <c r="E20" s="107" t="str">
        <f>IF(Table13[[#This Row],[t / s]]="","",1/Table13[[#This Row],[Column1]])</f>
        <v/>
      </c>
      <c r="F20" s="107" t="str">
        <f>IF(Table13[[#This Row],['[A'] / M]]="","",LN(Table13[[#This Row],['[A'] / M]]))</f>
        <v/>
      </c>
      <c r="R20" s="175"/>
      <c r="U20" t="s">
        <v>5704</v>
      </c>
      <c r="V20" t="s">
        <v>5746</v>
      </c>
    </row>
    <row r="21" spans="2:22">
      <c r="B21" s="271"/>
      <c r="C21" s="271"/>
      <c r="D21" s="107" t="str">
        <f>IF(Table13[[#This Row],[t / s]]="","",IF($B$5="K",Table13[[#This Row],[t / s]],Table13[[#This Row],[t / s]]+273.15))</f>
        <v/>
      </c>
      <c r="E21" s="107" t="str">
        <f>IF(Table13[[#This Row],[t / s]]="","",1/Table13[[#This Row],[Column1]])</f>
        <v/>
      </c>
      <c r="F21" s="107" t="str">
        <f>IF(Table13[[#This Row],['[A'] / M]]="","",LN(Table13[[#This Row],['[A'] / M]]))</f>
        <v/>
      </c>
      <c r="U21" t="s">
        <v>5705</v>
      </c>
      <c r="V21" t="s">
        <v>5747</v>
      </c>
    </row>
    <row r="22" spans="2:22">
      <c r="B22" s="271"/>
      <c r="C22" s="271"/>
      <c r="D22" s="107" t="str">
        <f>IF(Table13[[#This Row],[t / s]]="","",IF($B$5="K",Table13[[#This Row],[t / s]],Table13[[#This Row],[t / s]]+273.15))</f>
        <v/>
      </c>
      <c r="E22" s="107" t="str">
        <f>IF(Table13[[#This Row],[t / s]]="","",1/Table13[[#This Row],[Column1]])</f>
        <v/>
      </c>
      <c r="F22" s="107" t="str">
        <f>IF(Table13[[#This Row],['[A'] / M]]="","",LN(Table13[[#This Row],['[A'] / M]]))</f>
        <v/>
      </c>
      <c r="U22" t="s">
        <v>5706</v>
      </c>
      <c r="V22" t="s">
        <v>5748</v>
      </c>
    </row>
    <row r="23" spans="2:22">
      <c r="B23" s="271"/>
      <c r="C23" s="271"/>
      <c r="D23" s="107" t="str">
        <f>IF(Table13[[#This Row],[t / s]]="","",IF($B$5="K",Table13[[#This Row],[t / s]],Table13[[#This Row],[t / s]]+273.15))</f>
        <v/>
      </c>
      <c r="E23" s="107" t="str">
        <f>IF(Table13[[#This Row],[t / s]]="","",1/Table13[[#This Row],[Column1]])</f>
        <v/>
      </c>
      <c r="F23" s="107" t="str">
        <f>IF(Table13[[#This Row],['[A'] / M]]="","",LN(Table13[[#This Row],['[A'] / M]]))</f>
        <v/>
      </c>
      <c r="U23" t="s">
        <v>5707</v>
      </c>
      <c r="V23" t="s">
        <v>5749</v>
      </c>
    </row>
    <row r="24" spans="2:22">
      <c r="B24" s="271"/>
      <c r="C24" s="271"/>
      <c r="D24" s="107" t="str">
        <f>IF(Table13[[#This Row],[t / s]]="","",IF($B$5="K",Table13[[#This Row],[t / s]],Table13[[#This Row],[t / s]]+273.15))</f>
        <v/>
      </c>
      <c r="E24" s="107" t="str">
        <f>IF(Table13[[#This Row],[t / s]]="","",1/Table13[[#This Row],[Column1]])</f>
        <v/>
      </c>
      <c r="F24" s="107" t="str">
        <f>IF(Table13[[#This Row],['[A'] / M]]="","",LN(Table13[[#This Row],['[A'] / M]]))</f>
        <v/>
      </c>
      <c r="U24" t="s">
        <v>5708</v>
      </c>
      <c r="V24" t="s">
        <v>5750</v>
      </c>
    </row>
    <row r="25" spans="2:22">
      <c r="B25" s="271"/>
      <c r="C25" s="271"/>
      <c r="D25" s="107" t="str">
        <f>IF(Table13[[#This Row],[t / s]]="","",IF($B$5="K",Table13[[#This Row],[t / s]],Table13[[#This Row],[t / s]]+273.15))</f>
        <v/>
      </c>
      <c r="E25" s="107" t="str">
        <f>IF(Table13[[#This Row],[t / s]]="","",1/Table13[[#This Row],[Column1]])</f>
        <v/>
      </c>
      <c r="F25" s="107" t="str">
        <f>IF(Table13[[#This Row],['[A'] / M]]="","",LN(Table13[[#This Row],['[A'] / M]]))</f>
        <v/>
      </c>
      <c r="U25" t="s">
        <v>5709</v>
      </c>
      <c r="V25" t="s">
        <v>5751</v>
      </c>
    </row>
    <row r="26" spans="2:22">
      <c r="B26" s="271"/>
      <c r="C26" s="271"/>
      <c r="D26" s="107" t="str">
        <f>IF(Table13[[#This Row],[t / s]]="","",IF($B$5="K",Table13[[#This Row],[t / s]],Table13[[#This Row],[t / s]]+273.15))</f>
        <v/>
      </c>
      <c r="E26" s="107" t="str">
        <f>IF(Table13[[#This Row],[t / s]]="","",1/Table13[[#This Row],[Column1]])</f>
        <v/>
      </c>
      <c r="F26" s="107" t="str">
        <f>IF(Table13[[#This Row],['[A'] / M]]="","",LN(Table13[[#This Row],['[A'] / M]]))</f>
        <v/>
      </c>
      <c r="U26" t="s">
        <v>5710</v>
      </c>
      <c r="V26" t="s">
        <v>5752</v>
      </c>
    </row>
    <row r="27" spans="2:22">
      <c r="B27" s="271"/>
      <c r="C27" s="271"/>
      <c r="D27" s="107" t="str">
        <f>IF(Table13[[#This Row],[t / s]]="","",IF($B$5="K",Table13[[#This Row],[t / s]],Table13[[#This Row],[t / s]]+273.15))</f>
        <v/>
      </c>
      <c r="E27" s="107" t="str">
        <f>IF(Table13[[#This Row],[t / s]]="","",1/Table13[[#This Row],[Column1]])</f>
        <v/>
      </c>
      <c r="F27" s="107" t="str">
        <f>IF(Table13[[#This Row],['[A'] / M]]="","",LN(Table13[[#This Row],['[A'] / M]]))</f>
        <v/>
      </c>
      <c r="U27" t="s">
        <v>5711</v>
      </c>
      <c r="V27" t="s">
        <v>5753</v>
      </c>
    </row>
    <row r="28" spans="2:22">
      <c r="B28" s="271"/>
      <c r="C28" s="271"/>
      <c r="D28" s="107" t="str">
        <f>IF(Table13[[#This Row],[t / s]]="","",IF($B$5="K",Table13[[#This Row],[t / s]],Table13[[#This Row],[t / s]]+273.15))</f>
        <v/>
      </c>
      <c r="E28" s="107" t="str">
        <f>IF(Table13[[#This Row],[t / s]]="","",1/Table13[[#This Row],[Column1]])</f>
        <v/>
      </c>
      <c r="F28" s="107" t="str">
        <f>IF(Table13[[#This Row],['[A'] / M]]="","",LN(Table13[[#This Row],['[A'] / M]]))</f>
        <v/>
      </c>
      <c r="U28" t="s">
        <v>5712</v>
      </c>
      <c r="V28" t="s">
        <v>5754</v>
      </c>
    </row>
    <row r="29" spans="2:22">
      <c r="B29" s="271"/>
      <c r="C29" s="271"/>
      <c r="D29" s="107" t="str">
        <f>IF(Table13[[#This Row],[t / s]]="","",IF($B$5="K",Table13[[#This Row],[t / s]],Table13[[#This Row],[t / s]]+273.15))</f>
        <v/>
      </c>
      <c r="E29" s="107" t="str">
        <f>IF(Table13[[#This Row],[t / s]]="","",1/Table13[[#This Row],[Column1]])</f>
        <v/>
      </c>
      <c r="F29" s="107" t="str">
        <f>IF(Table13[[#This Row],['[A'] / M]]="","",LN(Table13[[#This Row],['[A'] / M]]))</f>
        <v/>
      </c>
      <c r="U29" t="s">
        <v>5713</v>
      </c>
    </row>
    <row r="30" spans="2:22">
      <c r="B30" s="271"/>
      <c r="C30" s="271"/>
      <c r="D30" s="107" t="str">
        <f>IF(Table13[[#This Row],[t / s]]="","",IF($B$5="K",Table13[[#This Row],[t / s]],Table13[[#This Row],[t / s]]+273.15))</f>
        <v/>
      </c>
      <c r="E30" s="107" t="str">
        <f>IF(Table13[[#This Row],[t / s]]="","",1/Table13[[#This Row],[Column1]])</f>
        <v/>
      </c>
      <c r="F30" s="107" t="str">
        <f>IF(Table13[[#This Row],['[A'] / M]]="","",LN(Table13[[#This Row],['[A'] / M]]))</f>
        <v/>
      </c>
      <c r="U30" t="s">
        <v>5714</v>
      </c>
      <c r="V30" t="s">
        <v>5755</v>
      </c>
    </row>
    <row r="31" spans="2:22">
      <c r="B31" s="271"/>
      <c r="C31" s="271"/>
      <c r="D31" s="107" t="str">
        <f>IF(Table13[[#This Row],[t / s]]="","",IF($B$5="K",Table13[[#This Row],[t / s]],Table13[[#This Row],[t / s]]+273.15))</f>
        <v/>
      </c>
      <c r="E31" s="107" t="str">
        <f>IF(Table13[[#This Row],[t / s]]="","",1/Table13[[#This Row],[Column1]])</f>
        <v/>
      </c>
      <c r="F31" s="107" t="str">
        <f>IF(Table13[[#This Row],['[A'] / M]]="","",LN(Table13[[#This Row],['[A'] / M]]))</f>
        <v/>
      </c>
      <c r="U31" t="s">
        <v>5715</v>
      </c>
      <c r="V31" t="s">
        <v>5756</v>
      </c>
    </row>
    <row r="32" spans="2:22">
      <c r="B32" s="271"/>
      <c r="C32" s="271"/>
      <c r="D32" s="107" t="str">
        <f>IF(Table13[[#This Row],[t / s]]="","",IF($B$5="K",Table13[[#This Row],[t / s]],Table13[[#This Row],[t / s]]+273.15))</f>
        <v/>
      </c>
      <c r="E32" s="107" t="str">
        <f>IF(Table13[[#This Row],[t / s]]="","",1/Table13[[#This Row],[Column1]])</f>
        <v/>
      </c>
      <c r="F32" s="107" t="str">
        <f>IF(Table13[[#This Row],['[A'] / M]]="","",LN(Table13[[#This Row],['[A'] / M]]))</f>
        <v/>
      </c>
      <c r="U32" t="s">
        <v>5716</v>
      </c>
      <c r="V32" t="s">
        <v>5757</v>
      </c>
    </row>
    <row r="33" spans="2:22">
      <c r="B33" s="271"/>
      <c r="C33" s="271"/>
      <c r="D33" s="107" t="str">
        <f>IF(Table13[[#This Row],[t / s]]="","",IF($B$5="K",Table13[[#This Row],[t / s]],Table13[[#This Row],[t / s]]+273.15))</f>
        <v/>
      </c>
      <c r="E33" s="107" t="str">
        <f>IF(Table13[[#This Row],[t / s]]="","",1/Table13[[#This Row],[Column1]])</f>
        <v/>
      </c>
      <c r="F33" s="107" t="str">
        <f>IF(Table13[[#This Row],['[A'] / M]]="","",LN(Table13[[#This Row],['[A'] / M]]))</f>
        <v/>
      </c>
      <c r="U33" t="s">
        <v>5717</v>
      </c>
      <c r="V33" t="s">
        <v>5758</v>
      </c>
    </row>
    <row r="34" spans="2:22">
      <c r="B34" s="271"/>
      <c r="C34" s="271"/>
      <c r="D34" s="107" t="str">
        <f>IF(Table13[[#This Row],[t / s]]="","",IF($B$5="K",Table13[[#This Row],[t / s]],Table13[[#This Row],[t / s]]+273.15))</f>
        <v/>
      </c>
      <c r="E34" s="107" t="str">
        <f>IF(Table13[[#This Row],[t / s]]="","",1/Table13[[#This Row],[Column1]])</f>
        <v/>
      </c>
      <c r="F34" s="107" t="str">
        <f>IF(Table13[[#This Row],['[A'] / M]]="","",LN(Table13[[#This Row],['[A'] / M]]))</f>
        <v/>
      </c>
      <c r="U34" t="s">
        <v>5718</v>
      </c>
      <c r="V34" t="s">
        <v>5759</v>
      </c>
    </row>
    <row r="35" spans="2:22">
      <c r="B35" s="271"/>
      <c r="C35" s="271"/>
      <c r="D35" s="107" t="str">
        <f>IF(Table13[[#This Row],[t / s]]="","",IF($B$5="K",Table13[[#This Row],[t / s]],Table13[[#This Row],[t / s]]+273.15))</f>
        <v/>
      </c>
      <c r="E35" s="107" t="str">
        <f>IF(Table13[[#This Row],[t / s]]="","",1/Table13[[#This Row],[Column1]])</f>
        <v/>
      </c>
      <c r="F35" s="107" t="str">
        <f>IF(Table13[[#This Row],['[A'] / M]]="","",LN(Table13[[#This Row],['[A'] / M]]))</f>
        <v/>
      </c>
      <c r="U35" t="s">
        <v>5719</v>
      </c>
      <c r="V35" t="s">
        <v>5760</v>
      </c>
    </row>
    <row r="36" spans="2:22">
      <c r="B36" s="271"/>
      <c r="C36" s="271"/>
      <c r="D36" s="107" t="str">
        <f>IF(Table13[[#This Row],[t / s]]="","",IF($B$5="K",Table13[[#This Row],[t / s]],Table13[[#This Row],[t / s]]+273.15))</f>
        <v/>
      </c>
      <c r="E36" s="107" t="str">
        <f>IF(Table13[[#This Row],[t / s]]="","",1/Table13[[#This Row],[Column1]])</f>
        <v/>
      </c>
      <c r="F36" s="107" t="str">
        <f>IF(Table13[[#This Row],['[A'] / M]]="","",LN(Table13[[#This Row],['[A'] / M]]))</f>
        <v/>
      </c>
      <c r="U36" t="s">
        <v>5720</v>
      </c>
      <c r="V36" t="s">
        <v>5761</v>
      </c>
    </row>
    <row r="37" spans="2:22">
      <c r="B37" s="271"/>
      <c r="C37" s="271"/>
      <c r="D37" s="107" t="str">
        <f>IF(Table13[[#This Row],[t / s]]="","",IF($B$5="K",Table13[[#This Row],[t / s]],Table13[[#This Row],[t / s]]+273.15))</f>
        <v/>
      </c>
      <c r="E37" s="107" t="str">
        <f>IF(Table13[[#This Row],[t / s]]="","",1/Table13[[#This Row],[Column1]])</f>
        <v/>
      </c>
      <c r="F37" s="107" t="str">
        <f>IF(Table13[[#This Row],['[A'] / M]]="","",LN(Table13[[#This Row],['[A'] / M]]))</f>
        <v/>
      </c>
      <c r="U37" t="s">
        <v>5721</v>
      </c>
      <c r="V37" t="s">
        <v>5762</v>
      </c>
    </row>
    <row r="38" spans="2:22">
      <c r="B38" s="271"/>
      <c r="C38" s="271"/>
      <c r="D38" s="107" t="str">
        <f>IF(Table13[[#This Row],[t / s]]="","",IF($B$5="K",Table13[[#This Row],[t / s]],Table13[[#This Row],[t / s]]+273.15))</f>
        <v/>
      </c>
      <c r="E38" s="107" t="str">
        <f>IF(Table13[[#This Row],[t / s]]="","",1/Table13[[#This Row],[Column1]])</f>
        <v/>
      </c>
      <c r="F38" s="107" t="str">
        <f>IF(Table13[[#This Row],['[A'] / M]]="","",LN(Table13[[#This Row],['[A'] / M]]))</f>
        <v/>
      </c>
      <c r="U38" t="s">
        <v>5722</v>
      </c>
      <c r="V38" t="s">
        <v>5763</v>
      </c>
    </row>
    <row r="39" spans="2:22">
      <c r="B39" s="271"/>
      <c r="C39" s="271"/>
      <c r="D39" s="107" t="str">
        <f>IF(Table13[[#This Row],[t / s]]="","",IF($B$5="K",Table13[[#This Row],[t / s]],Table13[[#This Row],[t / s]]+273.15))</f>
        <v/>
      </c>
      <c r="E39" s="107" t="str">
        <f>IF(Table13[[#This Row],[t / s]]="","",1/Table13[[#This Row],[Column1]])</f>
        <v/>
      </c>
      <c r="F39" s="107" t="str">
        <f>IF(Table13[[#This Row],['[A'] / M]]="","",LN(Table13[[#This Row],['[A'] / M]]))</f>
        <v/>
      </c>
      <c r="U39" t="s">
        <v>5723</v>
      </c>
      <c r="V39" t="s">
        <v>5764</v>
      </c>
    </row>
    <row r="40" spans="2:22">
      <c r="B40" s="271"/>
      <c r="C40" s="271"/>
      <c r="D40" s="107" t="str">
        <f>IF(Table13[[#This Row],[t / s]]="","",IF($B$5="K",Table13[[#This Row],[t / s]],Table13[[#This Row],[t / s]]+273.15))</f>
        <v/>
      </c>
      <c r="E40" s="107" t="str">
        <f>IF(Table13[[#This Row],[t / s]]="","",1/Table13[[#This Row],[Column1]])</f>
        <v/>
      </c>
      <c r="F40" s="107" t="str">
        <f>IF(Table13[[#This Row],['[A'] / M]]="","",LN(Table13[[#This Row],['[A'] / M]]))</f>
        <v/>
      </c>
      <c r="U40" t="s">
        <v>5724</v>
      </c>
      <c r="V40" t="s">
        <v>5765</v>
      </c>
    </row>
    <row r="41" spans="2:22">
      <c r="B41" s="271"/>
      <c r="C41" s="271"/>
      <c r="D41" s="107" t="str">
        <f>IF(Table13[[#This Row],[t / s]]="","",IF($B$5="K",Table13[[#This Row],[t / s]],Table13[[#This Row],[t / s]]+273.15))</f>
        <v/>
      </c>
      <c r="E41" s="107" t="str">
        <f>IF(Table13[[#This Row],[t / s]]="","",1/Table13[[#This Row],[Column1]])</f>
        <v/>
      </c>
      <c r="F41" s="107" t="str">
        <f>IF(Table13[[#This Row],['[A'] / M]]="","",LN(Table13[[#This Row],['[A'] / M]]))</f>
        <v/>
      </c>
      <c r="U41" t="s">
        <v>5725</v>
      </c>
      <c r="V41" t="s">
        <v>5766</v>
      </c>
    </row>
    <row r="42" spans="2:22">
      <c r="B42" s="271"/>
      <c r="C42" s="271"/>
      <c r="D42" s="107" t="str">
        <f>IF(Table13[[#This Row],[t / s]]="","",IF($B$5="K",Table13[[#This Row],[t / s]],Table13[[#This Row],[t / s]]+273.15))</f>
        <v/>
      </c>
      <c r="E42" s="107" t="str">
        <f>IF(Table13[[#This Row],[t / s]]="","",1/Table13[[#This Row],[Column1]])</f>
        <v/>
      </c>
      <c r="F42" s="107" t="str">
        <f>IF(Table13[[#This Row],['[A'] / M]]="","",LN(Table13[[#This Row],['[A'] / M]]))</f>
        <v/>
      </c>
      <c r="U42" t="s">
        <v>5726</v>
      </c>
      <c r="V42" t="s">
        <v>5767</v>
      </c>
    </row>
    <row r="43" spans="2:22">
      <c r="B43" s="271"/>
      <c r="C43" s="271"/>
      <c r="D43" s="107" t="str">
        <f>IF(Table13[[#This Row],[t / s]]="","",IF($B$5="K",Table13[[#This Row],[t / s]],Table13[[#This Row],[t / s]]+273.15))</f>
        <v/>
      </c>
      <c r="E43" s="107" t="str">
        <f>IF(Table13[[#This Row],[t / s]]="","",1/Table13[[#This Row],[Column1]])</f>
        <v/>
      </c>
      <c r="F43" s="107" t="str">
        <f>IF(Table13[[#This Row],['[A'] / M]]="","",LN(Table13[[#This Row],['[A'] / M]]))</f>
        <v/>
      </c>
      <c r="U43" t="s">
        <v>5727</v>
      </c>
      <c r="V43" t="s">
        <v>5768</v>
      </c>
    </row>
    <row r="44" spans="2:22">
      <c r="B44" s="271"/>
      <c r="C44" s="271"/>
      <c r="D44" s="107" t="str">
        <f>IF(Table13[[#This Row],[t / s]]="","",IF($B$5="K",Table13[[#This Row],[t / s]],Table13[[#This Row],[t / s]]+273.15))</f>
        <v/>
      </c>
      <c r="E44" s="107" t="str">
        <f>IF(Table13[[#This Row],[t / s]]="","",1/Table13[[#This Row],[Column1]])</f>
        <v/>
      </c>
      <c r="F44" s="107" t="str">
        <f>IF(Table13[[#This Row],['[A'] / M]]="","",LN(Table13[[#This Row],['[A'] / M]]))</f>
        <v/>
      </c>
      <c r="U44" t="s">
        <v>5728</v>
      </c>
      <c r="V44" t="s">
        <v>5769</v>
      </c>
    </row>
    <row r="45" spans="2:22">
      <c r="B45" s="271"/>
      <c r="C45" s="271"/>
      <c r="D45" s="107" t="str">
        <f>IF(Table13[[#This Row],[t / s]]="","",IF($B$5="K",Table13[[#This Row],[t / s]],Table13[[#This Row],[t / s]]+273.15))</f>
        <v/>
      </c>
      <c r="E45" s="107" t="str">
        <f>IF(Table13[[#This Row],[t / s]]="","",1/Table13[[#This Row],[Column1]])</f>
        <v/>
      </c>
      <c r="F45" s="107" t="str">
        <f>IF(Table13[[#This Row],['[A'] / M]]="","",LN(Table13[[#This Row],['[A'] / M]]))</f>
        <v/>
      </c>
      <c r="U45" t="s">
        <v>5729</v>
      </c>
      <c r="V45" t="s">
        <v>5770</v>
      </c>
    </row>
    <row r="46" spans="2:22">
      <c r="B46" s="271"/>
      <c r="C46" s="271"/>
      <c r="D46" s="107" t="str">
        <f>IF(Table13[[#This Row],[t / s]]="","",IF($B$5="K",Table13[[#This Row],[t / s]],Table13[[#This Row],[t / s]]+273.15))</f>
        <v/>
      </c>
      <c r="E46" s="107" t="str">
        <f>IF(Table13[[#This Row],[t / s]]="","",1/Table13[[#This Row],[Column1]])</f>
        <v/>
      </c>
      <c r="F46" s="107" t="str">
        <f>IF(Table13[[#This Row],['[A'] / M]]="","",LN(Table13[[#This Row],['[A'] / M]]))</f>
        <v/>
      </c>
      <c r="U46" t="s">
        <v>5730</v>
      </c>
      <c r="V46" t="s">
        <v>5771</v>
      </c>
    </row>
    <row r="47" spans="2:22">
      <c r="B47" s="271"/>
      <c r="C47" s="271"/>
      <c r="D47" s="107" t="str">
        <f>IF(Table13[[#This Row],[t / s]]="","",IF($B$5="K",Table13[[#This Row],[t / s]],Table13[[#This Row],[t / s]]+273.15))</f>
        <v/>
      </c>
      <c r="E47" s="107" t="str">
        <f>IF(Table13[[#This Row],[t / s]]="","",1/Table13[[#This Row],[Column1]])</f>
        <v/>
      </c>
      <c r="F47" s="107" t="str">
        <f>IF(Table13[[#This Row],['[A'] / M]]="","",LN(Table13[[#This Row],['[A'] / M]]))</f>
        <v/>
      </c>
      <c r="U47" t="s">
        <v>5731</v>
      </c>
      <c r="V47" t="s">
        <v>5772</v>
      </c>
    </row>
    <row r="48" spans="2:22">
      <c r="B48" s="271"/>
      <c r="C48" s="271"/>
      <c r="D48" s="107" t="str">
        <f>IF(Table13[[#This Row],[t / s]]="","",IF($B$5="K",Table13[[#This Row],[t / s]],Table13[[#This Row],[t / s]]+273.15))</f>
        <v/>
      </c>
      <c r="E48" s="107" t="str">
        <f>IF(Table13[[#This Row],[t / s]]="","",1/Table13[[#This Row],[Column1]])</f>
        <v/>
      </c>
      <c r="F48" s="107" t="str">
        <f>IF(Table13[[#This Row],['[A'] / M]]="","",LN(Table13[[#This Row],['[A'] / M]]))</f>
        <v/>
      </c>
      <c r="U48" t="s">
        <v>5732</v>
      </c>
      <c r="V48" t="s">
        <v>5773</v>
      </c>
    </row>
    <row r="49" spans="2:22">
      <c r="B49" s="271"/>
      <c r="C49" s="271"/>
      <c r="D49" s="107" t="str">
        <f>IF(Table13[[#This Row],[t / s]]="","",IF($B$5="K",Table13[[#This Row],[t / s]],Table13[[#This Row],[t / s]]+273.15))</f>
        <v/>
      </c>
      <c r="E49" s="107" t="str">
        <f>IF(Table13[[#This Row],[t / s]]="","",1/Table13[[#This Row],[Column1]])</f>
        <v/>
      </c>
      <c r="F49" s="107" t="str">
        <f>IF(Table13[[#This Row],['[A'] / M]]="","",LN(Table13[[#This Row],['[A'] / M]]))</f>
        <v/>
      </c>
      <c r="U49" t="s">
        <v>5733</v>
      </c>
      <c r="V49" t="s">
        <v>5774</v>
      </c>
    </row>
    <row r="50" spans="2:22">
      <c r="B50" s="271"/>
      <c r="C50" s="271"/>
      <c r="D50" s="107" t="str">
        <f>IF(Table13[[#This Row],[t / s]]="","",IF($B$5="K",Table13[[#This Row],[t / s]],Table13[[#This Row],[t / s]]+273.15))</f>
        <v/>
      </c>
      <c r="E50" s="107" t="str">
        <f>IF(Table13[[#This Row],[t / s]]="","",1/Table13[[#This Row],[Column1]])</f>
        <v/>
      </c>
      <c r="F50" s="107" t="str">
        <f>IF(Table13[[#This Row],['[A'] / M]]="","",LN(Table13[[#This Row],['[A'] / M]]))</f>
        <v/>
      </c>
    </row>
    <row r="51" spans="2:22">
      <c r="B51" s="271"/>
      <c r="C51" s="271"/>
      <c r="D51" s="107" t="str">
        <f>IF(Table13[[#This Row],[t / s]]="","",IF($B$5="K",Table13[[#This Row],[t / s]],Table13[[#This Row],[t / s]]+273.15))</f>
        <v/>
      </c>
      <c r="E51" s="107" t="str">
        <f>IF(Table13[[#This Row],[t / s]]="","",1/Table13[[#This Row],[Column1]])</f>
        <v/>
      </c>
      <c r="F51" s="107" t="str">
        <f>IF(Table13[[#This Row],['[A'] / M]]="","",LN(Table13[[#This Row],['[A'] / M]]))</f>
        <v/>
      </c>
    </row>
    <row r="52" spans="2:22">
      <c r="B52" s="271"/>
      <c r="C52" s="271"/>
      <c r="D52" s="107" t="str">
        <f>IF(Table13[[#This Row],[t / s]]="","",IF($B$5="K",Table13[[#This Row],[t / s]],Table13[[#This Row],[t / s]]+273.15))</f>
        <v/>
      </c>
      <c r="E52" s="107" t="str">
        <f>IF(Table13[[#This Row],[t / s]]="","",1/Table13[[#This Row],[Column1]])</f>
        <v/>
      </c>
      <c r="F52" s="107" t="str">
        <f>IF(Table13[[#This Row],['[A'] / M]]="","",LN(Table13[[#This Row],['[A'] / M]]))</f>
        <v/>
      </c>
    </row>
    <row r="53" spans="2:22">
      <c r="B53" s="271"/>
      <c r="C53" s="271"/>
      <c r="D53" s="107" t="str">
        <f>IF(Table13[[#This Row],[t / s]]="","",IF($B$5="K",Table13[[#This Row],[t / s]],Table13[[#This Row],[t / s]]+273.15))</f>
        <v/>
      </c>
      <c r="E53" s="107" t="str">
        <f>IF(Table13[[#This Row],[t / s]]="","",1/Table13[[#This Row],[Column1]])</f>
        <v/>
      </c>
      <c r="F53" s="107" t="str">
        <f>IF(Table13[[#This Row],['[A'] / M]]="","",LN(Table13[[#This Row],['[A'] / M]]))</f>
        <v/>
      </c>
    </row>
    <row r="54" spans="2:22">
      <c r="B54" s="271"/>
      <c r="C54" s="271"/>
      <c r="D54" s="107" t="str">
        <f>IF(Table13[[#This Row],[t / s]]="","",IF($B$5="K",Table13[[#This Row],[t / s]],Table13[[#This Row],[t / s]]+273.15))</f>
        <v/>
      </c>
      <c r="E54" s="107" t="str">
        <f>IF(Table13[[#This Row],[t / s]]="","",1/Table13[[#This Row],[Column1]])</f>
        <v/>
      </c>
      <c r="F54" s="107" t="str">
        <f>IF(Table13[[#This Row],['[A'] / M]]="","",LN(Table13[[#This Row],['[A'] / M]]))</f>
        <v/>
      </c>
    </row>
    <row r="55" spans="2:22">
      <c r="B55" s="271"/>
      <c r="C55" s="271"/>
      <c r="D55" s="107" t="str">
        <f>IF(Table13[[#This Row],[t / s]]="","",IF($B$5="K",Table13[[#This Row],[t / s]],Table13[[#This Row],[t / s]]+273.15))</f>
        <v/>
      </c>
      <c r="E55" s="107" t="str">
        <f>IF(Table13[[#This Row],[t / s]]="","",1/Table13[[#This Row],[Column1]])</f>
        <v/>
      </c>
      <c r="F55" s="107" t="str">
        <f>IF(Table13[[#This Row],['[A'] / M]]="","",LN(Table13[[#This Row],['[A'] / M]]))</f>
        <v/>
      </c>
    </row>
    <row r="56" spans="2:22">
      <c r="B56" s="271"/>
      <c r="C56" s="271"/>
      <c r="D56" s="107" t="str">
        <f>IF(Table13[[#This Row],[t / s]]="","",IF($B$5="K",Table13[[#This Row],[t / s]],Table13[[#This Row],[t / s]]+273.15))</f>
        <v/>
      </c>
      <c r="E56" s="107" t="str">
        <f>IF(Table13[[#This Row],[t / s]]="","",1/Table13[[#This Row],[Column1]])</f>
        <v/>
      </c>
      <c r="F56" s="107" t="str">
        <f>IF(Table13[[#This Row],['[A'] / M]]="","",LN(Table13[[#This Row],['[A'] / M]]))</f>
        <v/>
      </c>
    </row>
    <row r="57" spans="2:22">
      <c r="B57" s="271"/>
      <c r="C57" s="271"/>
      <c r="D57" s="107" t="str">
        <f>IF(Table13[[#This Row],[t / s]]="","",IF($B$5="K",Table13[[#This Row],[t / s]],Table13[[#This Row],[t / s]]+273.15))</f>
        <v/>
      </c>
      <c r="E57" s="107" t="str">
        <f>IF(Table13[[#This Row],[t / s]]="","",1/Table13[[#This Row],[Column1]])</f>
        <v/>
      </c>
      <c r="F57" s="107" t="str">
        <f>IF(Table13[[#This Row],['[A'] / M]]="","",LN(Table13[[#This Row],['[A'] / M]]))</f>
        <v/>
      </c>
    </row>
    <row r="58" spans="2:22">
      <c r="B58" s="271"/>
      <c r="C58" s="271"/>
      <c r="D58" s="107" t="str">
        <f>IF(Table13[[#This Row],[t / s]]="","",IF($B$5="K",Table13[[#This Row],[t / s]],Table13[[#This Row],[t / s]]+273.15))</f>
        <v/>
      </c>
      <c r="E58" s="107" t="str">
        <f>IF(Table13[[#This Row],[t / s]]="","",1/Table13[[#This Row],[Column1]])</f>
        <v/>
      </c>
      <c r="F58" s="107" t="str">
        <f>IF(Table13[[#This Row],['[A'] / M]]="","",LN(Table13[[#This Row],['[A'] / M]]))</f>
        <v/>
      </c>
    </row>
    <row r="59" spans="2:22">
      <c r="B59" s="271"/>
      <c r="C59" s="271"/>
      <c r="D59" s="107" t="str">
        <f>IF(Table13[[#This Row],[t / s]]="","",IF($B$5="K",Table13[[#This Row],[t / s]],Table13[[#This Row],[t / s]]+273.15))</f>
        <v/>
      </c>
      <c r="E59" s="107" t="str">
        <f>IF(Table13[[#This Row],[t / s]]="","",1/Table13[[#This Row],[Column1]])</f>
        <v/>
      </c>
      <c r="F59" s="107" t="str">
        <f>IF(Table13[[#This Row],['[A'] / M]]="","",LN(Table13[[#This Row],['[A'] / M]]))</f>
        <v/>
      </c>
    </row>
    <row r="60" spans="2:22">
      <c r="B60" s="271"/>
      <c r="C60" s="271"/>
      <c r="D60" s="107" t="str">
        <f>IF(Table13[[#This Row],[t / s]]="","",IF($B$5="K",Table13[[#This Row],[t / s]],Table13[[#This Row],[t / s]]+273.15))</f>
        <v/>
      </c>
      <c r="E60" s="107" t="str">
        <f>IF(Table13[[#This Row],[t / s]]="","",1/Table13[[#This Row],[Column1]])</f>
        <v/>
      </c>
      <c r="F60" s="107" t="str">
        <f>IF(Table13[[#This Row],['[A'] / M]]="","",LN(Table13[[#This Row],['[A'] / M]]))</f>
        <v/>
      </c>
    </row>
    <row r="61" spans="2:22">
      <c r="B61" s="271"/>
      <c r="C61" s="271"/>
      <c r="D61" s="107" t="str">
        <f>IF(Table13[[#This Row],[t / s]]="","",IF($B$5="K",Table13[[#This Row],[t / s]],Table13[[#This Row],[t / s]]+273.15))</f>
        <v/>
      </c>
      <c r="E61" s="107" t="str">
        <f>IF(Table13[[#This Row],[t / s]]="","",1/Table13[[#This Row],[Column1]])</f>
        <v/>
      </c>
      <c r="F61" s="107" t="str">
        <f>IF(Table13[[#This Row],['[A'] / M]]="","",LN(Table13[[#This Row],['[A'] / M]]))</f>
        <v/>
      </c>
    </row>
    <row r="62" spans="2:22">
      <c r="B62" s="271"/>
      <c r="C62" s="271"/>
      <c r="D62" s="107" t="str">
        <f>IF(Table13[[#This Row],[t / s]]="","",IF($B$5="K",Table13[[#This Row],[t / s]],Table13[[#This Row],[t / s]]+273.15))</f>
        <v/>
      </c>
      <c r="E62" s="107" t="str">
        <f>IF(Table13[[#This Row],[t / s]]="","",1/Table13[[#This Row],[Column1]])</f>
        <v/>
      </c>
      <c r="F62" s="107" t="str">
        <f>IF(Table13[[#This Row],['[A'] / M]]="","",LN(Table13[[#This Row],['[A'] / M]]))</f>
        <v/>
      </c>
    </row>
    <row r="63" spans="2:22">
      <c r="B63" s="271"/>
      <c r="C63" s="271"/>
      <c r="D63" s="107" t="str">
        <f>IF(Table13[[#This Row],[t / s]]="","",IF($B$5="K",Table13[[#This Row],[t / s]],Table13[[#This Row],[t / s]]+273.15))</f>
        <v/>
      </c>
      <c r="E63" s="107" t="str">
        <f>IF(Table13[[#This Row],[t / s]]="","",1/Table13[[#This Row],[Column1]])</f>
        <v/>
      </c>
      <c r="F63" s="107" t="str">
        <f>IF(Table13[[#This Row],['[A'] / M]]="","",LN(Table13[[#This Row],['[A'] / M]]))</f>
        <v/>
      </c>
    </row>
    <row r="64" spans="2:22">
      <c r="B64" s="271"/>
      <c r="C64" s="271"/>
      <c r="D64" s="107" t="str">
        <f>IF(Table13[[#This Row],[t / s]]="","",IF($B$5="K",Table13[[#This Row],[t / s]],Table13[[#This Row],[t / s]]+273.15))</f>
        <v/>
      </c>
      <c r="E64" s="107" t="str">
        <f>IF(Table13[[#This Row],[t / s]]="","",1/Table13[[#This Row],[Column1]])</f>
        <v/>
      </c>
      <c r="F64" s="107" t="str">
        <f>IF(Table13[[#This Row],['[A'] / M]]="","",LN(Table13[[#This Row],['[A'] / M]]))</f>
        <v/>
      </c>
    </row>
    <row r="65" spans="2:6">
      <c r="B65" s="271"/>
      <c r="C65" s="271"/>
      <c r="D65" s="107" t="str">
        <f>IF(Table13[[#This Row],[t / s]]="","",IF($B$5="K",Table13[[#This Row],[t / s]],Table13[[#This Row],[t / s]]+273.15))</f>
        <v/>
      </c>
      <c r="E65" s="107" t="str">
        <f>IF(Table13[[#This Row],[t / s]]="","",1/Table13[[#This Row],[Column1]])</f>
        <v/>
      </c>
      <c r="F65" s="107" t="str">
        <f>IF(Table13[[#This Row],['[A'] / M]]="","",LN(Table13[[#This Row],['[A'] / M]]))</f>
        <v/>
      </c>
    </row>
    <row r="66" spans="2:6">
      <c r="B66" s="271"/>
      <c r="C66" s="271"/>
      <c r="D66" s="107" t="str">
        <f>IF(Table13[[#This Row],[t / s]]="","",IF($B$5="K",Table13[[#This Row],[t / s]],Table13[[#This Row],[t / s]]+273.15))</f>
        <v/>
      </c>
      <c r="E66" s="107" t="str">
        <f>IF(Table13[[#This Row],[t / s]]="","",1/Table13[[#This Row],[Column1]])</f>
        <v/>
      </c>
      <c r="F66" s="107" t="str">
        <f>IF(Table13[[#This Row],['[A'] / M]]="","",LN(Table13[[#This Row],['[A'] / M]]))</f>
        <v/>
      </c>
    </row>
    <row r="67" spans="2:6">
      <c r="B67" s="271"/>
      <c r="C67" s="271"/>
      <c r="D67" s="107" t="str">
        <f>IF(Table13[[#This Row],[t / s]]="","",IF($B$5="K",Table13[[#This Row],[t / s]],Table13[[#This Row],[t / s]]+273.15))</f>
        <v/>
      </c>
      <c r="E67" s="107" t="str">
        <f>IF(Table13[[#This Row],[t / s]]="","",1/Table13[[#This Row],[Column1]])</f>
        <v/>
      </c>
      <c r="F67" s="107" t="str">
        <f>IF(Table13[[#This Row],['[A'] / M]]="","",LN(Table13[[#This Row],['[A'] / M]]))</f>
        <v/>
      </c>
    </row>
    <row r="68" spans="2:6">
      <c r="B68" s="271"/>
      <c r="C68" s="271"/>
      <c r="D68" s="107" t="str">
        <f>IF(Table13[[#This Row],[t / s]]="","",IF($B$5="K",Table13[[#This Row],[t / s]],Table13[[#This Row],[t / s]]+273.15))</f>
        <v/>
      </c>
      <c r="E68" s="107" t="str">
        <f>IF(Table13[[#This Row],[t / s]]="","",1/Table13[[#This Row],[Column1]])</f>
        <v/>
      </c>
      <c r="F68" s="107" t="str">
        <f>IF(Table13[[#This Row],['[A'] / M]]="","",LN(Table13[[#This Row],['[A'] / M]]))</f>
        <v/>
      </c>
    </row>
    <row r="69" spans="2:6">
      <c r="B69" s="271"/>
      <c r="C69" s="271"/>
      <c r="D69" s="107" t="str">
        <f>IF(Table13[[#This Row],[t / s]]="","",IF($B$5="K",Table13[[#This Row],[t / s]],Table13[[#This Row],[t / s]]+273.15))</f>
        <v/>
      </c>
      <c r="E69" s="107" t="str">
        <f>IF(Table13[[#This Row],[t / s]]="","",1/Table13[[#This Row],[Column1]])</f>
        <v/>
      </c>
      <c r="F69" s="107" t="str">
        <f>IF(Table13[[#This Row],['[A'] / M]]="","",LN(Table13[[#This Row],['[A'] / M]]))</f>
        <v/>
      </c>
    </row>
    <row r="70" spans="2:6">
      <c r="B70" s="271"/>
      <c r="C70" s="271"/>
      <c r="D70" s="107" t="str">
        <f>IF(Table13[[#This Row],[t / s]]="","",IF($B$5="K",Table13[[#This Row],[t / s]],Table13[[#This Row],[t / s]]+273.15))</f>
        <v/>
      </c>
      <c r="E70" s="107" t="str">
        <f>IF(Table13[[#This Row],[t / s]]="","",1/Table13[[#This Row],[Column1]])</f>
        <v/>
      </c>
      <c r="F70" s="107" t="str">
        <f>IF(Table13[[#This Row],['[A'] / M]]="","",LN(Table13[[#This Row],['[A'] / M]]))</f>
        <v/>
      </c>
    </row>
    <row r="71" spans="2:6">
      <c r="B71" s="271"/>
      <c r="C71" s="271"/>
      <c r="D71" s="107" t="str">
        <f>IF(Table13[[#This Row],[t / s]]="","",IF($B$5="K",Table13[[#This Row],[t / s]],Table13[[#This Row],[t / s]]+273.15))</f>
        <v/>
      </c>
      <c r="E71" s="107" t="str">
        <f>IF(Table13[[#This Row],[t / s]]="","",1/Table13[[#This Row],[Column1]])</f>
        <v/>
      </c>
      <c r="F71" s="107" t="str">
        <f>IF(Table13[[#This Row],['[A'] / M]]="","",LN(Table13[[#This Row],['[A'] / M]]))</f>
        <v/>
      </c>
    </row>
    <row r="72" spans="2:6">
      <c r="B72" s="271"/>
      <c r="C72" s="271"/>
      <c r="D72" s="107" t="str">
        <f>IF(Table13[[#This Row],[t / s]]="","",IF($B$5="K",Table13[[#This Row],[t / s]],Table13[[#This Row],[t / s]]+273.15))</f>
        <v/>
      </c>
      <c r="E72" s="107" t="str">
        <f>IF(Table13[[#This Row],[t / s]]="","",1/Table13[[#This Row],[Column1]])</f>
        <v/>
      </c>
      <c r="F72" s="107" t="str">
        <f>IF(Table13[[#This Row],['[A'] / M]]="","",LN(Table13[[#This Row],['[A'] / M]]))</f>
        <v/>
      </c>
    </row>
    <row r="73" spans="2:6">
      <c r="B73" s="271"/>
      <c r="C73" s="271"/>
      <c r="D73" s="107" t="str">
        <f>IF(Table13[[#This Row],[t / s]]="","",IF($B$5="K",Table13[[#This Row],[t / s]],Table13[[#This Row],[t / s]]+273.15))</f>
        <v/>
      </c>
      <c r="E73" s="107" t="str">
        <f>IF(Table13[[#This Row],[t / s]]="","",1/Table13[[#This Row],[Column1]])</f>
        <v/>
      </c>
      <c r="F73" s="107" t="str">
        <f>IF(Table13[[#This Row],['[A'] / M]]="","",LN(Table13[[#This Row],['[A'] / M]]))</f>
        <v/>
      </c>
    </row>
    <row r="74" spans="2:6">
      <c r="B74" s="271"/>
      <c r="C74" s="271"/>
      <c r="D74" s="107" t="str">
        <f>IF(Table13[[#This Row],[t / s]]="","",IF($B$5="K",Table13[[#This Row],[t / s]],Table13[[#This Row],[t / s]]+273.15))</f>
        <v/>
      </c>
      <c r="E74" s="107" t="str">
        <f>IF(Table13[[#This Row],[t / s]]="","",1/Table13[[#This Row],[Column1]])</f>
        <v/>
      </c>
      <c r="F74" s="107" t="str">
        <f>IF(Table13[[#This Row],['[A'] / M]]="","",LN(Table13[[#This Row],['[A'] / M]]))</f>
        <v/>
      </c>
    </row>
    <row r="75" spans="2:6">
      <c r="B75" s="271"/>
      <c r="C75" s="271"/>
      <c r="D75" s="107" t="str">
        <f>IF(Table13[[#This Row],[t / s]]="","",IF($B$5="K",Table13[[#This Row],[t / s]],Table13[[#This Row],[t / s]]+273.15))</f>
        <v/>
      </c>
      <c r="E75" s="107" t="str">
        <f>IF(Table13[[#This Row],[t / s]]="","",1/Table13[[#This Row],[Column1]])</f>
        <v/>
      </c>
      <c r="F75" s="107" t="str">
        <f>IF(Table13[[#This Row],['[A'] / M]]="","",LN(Table13[[#This Row],['[A'] / M]]))</f>
        <v/>
      </c>
    </row>
    <row r="76" spans="2:6">
      <c r="B76" s="271"/>
      <c r="C76" s="271"/>
      <c r="D76" s="107" t="str">
        <f>IF(Table13[[#This Row],[t / s]]="","",IF($B$5="K",Table13[[#This Row],[t / s]],Table13[[#This Row],[t / s]]+273.15))</f>
        <v/>
      </c>
      <c r="E76" s="107" t="str">
        <f>IF(Table13[[#This Row],[t / s]]="","",1/Table13[[#This Row],[Column1]])</f>
        <v/>
      </c>
      <c r="F76" s="107" t="str">
        <f>IF(Table13[[#This Row],['[A'] / M]]="","",LN(Table13[[#This Row],['[A'] / M]]))</f>
        <v/>
      </c>
    </row>
    <row r="77" spans="2:6">
      <c r="B77" s="271"/>
      <c r="C77" s="271"/>
      <c r="D77" s="107" t="str">
        <f>IF(Table13[[#This Row],[t / s]]="","",IF($B$5="K",Table13[[#This Row],[t / s]],Table13[[#This Row],[t / s]]+273.15))</f>
        <v/>
      </c>
      <c r="E77" s="107" t="str">
        <f>IF(Table13[[#This Row],[t / s]]="","",1/Table13[[#This Row],[Column1]])</f>
        <v/>
      </c>
      <c r="F77" s="107" t="str">
        <f>IF(Table13[[#This Row],['[A'] / M]]="","",LN(Table13[[#This Row],['[A'] / M]]))</f>
        <v/>
      </c>
    </row>
    <row r="78" spans="2:6">
      <c r="B78" s="271"/>
      <c r="C78" s="271"/>
      <c r="D78" s="107" t="str">
        <f>IF(Table13[[#This Row],[t / s]]="","",IF($B$5="K",Table13[[#This Row],[t / s]],Table13[[#This Row],[t / s]]+273.15))</f>
        <v/>
      </c>
      <c r="E78" s="107" t="str">
        <f>IF(Table13[[#This Row],[t / s]]="","",1/Table13[[#This Row],[Column1]])</f>
        <v/>
      </c>
      <c r="F78" s="107" t="str">
        <f>IF(Table13[[#This Row],['[A'] / M]]="","",LN(Table13[[#This Row],['[A'] / M]]))</f>
        <v/>
      </c>
    </row>
    <row r="79" spans="2:6">
      <c r="B79" s="271"/>
      <c r="C79" s="271"/>
      <c r="D79" s="107" t="str">
        <f>IF(Table13[[#This Row],[t / s]]="","",IF($B$5="K",Table13[[#This Row],[t / s]],Table13[[#This Row],[t / s]]+273.15))</f>
        <v/>
      </c>
      <c r="E79" s="107" t="str">
        <f>IF(Table13[[#This Row],[t / s]]="","",1/Table13[[#This Row],[Column1]])</f>
        <v/>
      </c>
      <c r="F79" s="107" t="str">
        <f>IF(Table13[[#This Row],['[A'] / M]]="","",LN(Table13[[#This Row],['[A'] / M]]))</f>
        <v/>
      </c>
    </row>
    <row r="80" spans="2:6">
      <c r="B80" s="271"/>
      <c r="C80" s="271"/>
      <c r="D80" s="107" t="str">
        <f>IF(Table13[[#This Row],[t / s]]="","",IF($B$5="K",Table13[[#This Row],[t / s]],Table13[[#This Row],[t / s]]+273.15))</f>
        <v/>
      </c>
      <c r="E80" s="107" t="str">
        <f>IF(Table13[[#This Row],[t / s]]="","",1/Table13[[#This Row],[Column1]])</f>
        <v/>
      </c>
      <c r="F80" s="107" t="str">
        <f>IF(Table13[[#This Row],['[A'] / M]]="","",LN(Table13[[#This Row],['[A'] / M]]))</f>
        <v/>
      </c>
    </row>
    <row r="81" spans="2:6">
      <c r="B81" s="271"/>
      <c r="C81" s="271"/>
      <c r="D81" s="107" t="str">
        <f>IF(Table13[[#This Row],[t / s]]="","",IF($B$5="K",Table13[[#This Row],[t / s]],Table13[[#This Row],[t / s]]+273.15))</f>
        <v/>
      </c>
      <c r="E81" s="107" t="str">
        <f>IF(Table13[[#This Row],[t / s]]="","",1/Table13[[#This Row],[Column1]])</f>
        <v/>
      </c>
      <c r="F81" s="107" t="str">
        <f>IF(Table13[[#This Row],['[A'] / M]]="","",LN(Table13[[#This Row],['[A'] / M]]))</f>
        <v/>
      </c>
    </row>
    <row r="82" spans="2:6">
      <c r="B82" s="271"/>
      <c r="C82" s="271"/>
      <c r="D82" s="107" t="str">
        <f>IF(Table13[[#This Row],[t / s]]="","",IF($B$5="K",Table13[[#This Row],[t / s]],Table13[[#This Row],[t / s]]+273.15))</f>
        <v/>
      </c>
      <c r="E82" s="107" t="str">
        <f>IF(Table13[[#This Row],[t / s]]="","",1/Table13[[#This Row],[Column1]])</f>
        <v/>
      </c>
      <c r="F82" s="107" t="str">
        <f>IF(Table13[[#This Row],['[A'] / M]]="","",LN(Table13[[#This Row],['[A'] / M]]))</f>
        <v/>
      </c>
    </row>
    <row r="83" spans="2:6">
      <c r="B83" s="271"/>
      <c r="C83" s="271"/>
      <c r="D83" s="107" t="str">
        <f>IF(Table13[[#This Row],[t / s]]="","",IF($B$5="K",Table13[[#This Row],[t / s]],Table13[[#This Row],[t / s]]+273.15))</f>
        <v/>
      </c>
      <c r="E83" s="107" t="str">
        <f>IF(Table13[[#This Row],[t / s]]="","",1/Table13[[#This Row],[Column1]])</f>
        <v/>
      </c>
      <c r="F83" s="107" t="str">
        <f>IF(Table13[[#This Row],['[A'] / M]]="","",LN(Table13[[#This Row],['[A'] / M]]))</f>
        <v/>
      </c>
    </row>
    <row r="84" spans="2:6">
      <c r="B84" s="271"/>
      <c r="C84" s="271"/>
      <c r="D84" s="107" t="str">
        <f>IF(Table13[[#This Row],[t / s]]="","",IF($B$5="K",Table13[[#This Row],[t / s]],Table13[[#This Row],[t / s]]+273.15))</f>
        <v/>
      </c>
      <c r="E84" s="107" t="str">
        <f>IF(Table13[[#This Row],[t / s]]="","",1/Table13[[#This Row],[Column1]])</f>
        <v/>
      </c>
      <c r="F84" s="107" t="str">
        <f>IF(Table13[[#This Row],['[A'] / M]]="","",LN(Table13[[#This Row],['[A'] / M]]))</f>
        <v/>
      </c>
    </row>
    <row r="85" spans="2:6">
      <c r="B85" s="271"/>
      <c r="C85" s="271"/>
      <c r="D85" s="107" t="str">
        <f>IF(Table13[[#This Row],[t / s]]="","",IF($B$5="K",Table13[[#This Row],[t / s]],Table13[[#This Row],[t / s]]+273.15))</f>
        <v/>
      </c>
      <c r="E85" s="107" t="str">
        <f>IF(Table13[[#This Row],[t / s]]="","",1/Table13[[#This Row],[Column1]])</f>
        <v/>
      </c>
      <c r="F85" s="107" t="str">
        <f>IF(Table13[[#This Row],['[A'] / M]]="","",LN(Table13[[#This Row],['[A'] / M]]))</f>
        <v/>
      </c>
    </row>
    <row r="86" spans="2:6">
      <c r="B86" s="271"/>
      <c r="C86" s="271"/>
      <c r="D86" s="107" t="str">
        <f>IF(Table13[[#This Row],[t / s]]="","",IF($B$5="K",Table13[[#This Row],[t / s]],Table13[[#This Row],[t / s]]+273.15))</f>
        <v/>
      </c>
      <c r="E86" s="107" t="str">
        <f>IF(Table13[[#This Row],[t / s]]="","",1/Table13[[#This Row],[Column1]])</f>
        <v/>
      </c>
      <c r="F86" s="107" t="str">
        <f>IF(Table13[[#This Row],['[A'] / M]]="","",LN(Table13[[#This Row],['[A'] / M]]))</f>
        <v/>
      </c>
    </row>
    <row r="87" spans="2:6">
      <c r="B87" s="271"/>
      <c r="C87" s="271"/>
      <c r="D87" s="107" t="str">
        <f>IF(Table13[[#This Row],[t / s]]="","",IF($B$5="K",Table13[[#This Row],[t / s]],Table13[[#This Row],[t / s]]+273.15))</f>
        <v/>
      </c>
      <c r="E87" s="107" t="str">
        <f>IF(Table13[[#This Row],[t / s]]="","",1/Table13[[#This Row],[Column1]])</f>
        <v/>
      </c>
      <c r="F87" s="107" t="str">
        <f>IF(Table13[[#This Row],['[A'] / M]]="","",LN(Table13[[#This Row],['[A'] / M]]))</f>
        <v/>
      </c>
    </row>
    <row r="88" spans="2:6">
      <c r="B88" s="271"/>
      <c r="C88" s="271"/>
      <c r="D88" s="107" t="str">
        <f>IF(Table13[[#This Row],[t / s]]="","",IF($B$5="K",Table13[[#This Row],[t / s]],Table13[[#This Row],[t / s]]+273.15))</f>
        <v/>
      </c>
      <c r="E88" s="107" t="str">
        <f>IF(Table13[[#This Row],[t / s]]="","",1/Table13[[#This Row],[Column1]])</f>
        <v/>
      </c>
      <c r="F88" s="107" t="str">
        <f>IF(Table13[[#This Row],['[A'] / M]]="","",LN(Table13[[#This Row],['[A'] / M]]))</f>
        <v/>
      </c>
    </row>
    <row r="89" spans="2:6">
      <c r="B89" s="271"/>
      <c r="C89" s="271"/>
      <c r="D89" s="107" t="str">
        <f>IF(Table13[[#This Row],[t / s]]="","",IF($B$5="K",Table13[[#This Row],[t / s]],Table13[[#This Row],[t / s]]+273.15))</f>
        <v/>
      </c>
      <c r="E89" s="107" t="str">
        <f>IF(Table13[[#This Row],[t / s]]="","",1/Table13[[#This Row],[Column1]])</f>
        <v/>
      </c>
      <c r="F89" s="107" t="str">
        <f>IF(Table13[[#This Row],['[A'] / M]]="","",LN(Table13[[#This Row],['[A'] / M]]))</f>
        <v/>
      </c>
    </row>
    <row r="90" spans="2:6">
      <c r="B90" s="271"/>
      <c r="C90" s="271"/>
      <c r="D90" s="107" t="str">
        <f>IF(Table13[[#This Row],[t / s]]="","",IF($B$5="K",Table13[[#This Row],[t / s]],Table13[[#This Row],[t / s]]+273.15))</f>
        <v/>
      </c>
      <c r="E90" s="107" t="str">
        <f>IF(Table13[[#This Row],[t / s]]="","",1/Table13[[#This Row],[Column1]])</f>
        <v/>
      </c>
      <c r="F90" s="107" t="str">
        <f>IF(Table13[[#This Row],['[A'] / M]]="","",LN(Table13[[#This Row],['[A'] / M]]))</f>
        <v/>
      </c>
    </row>
    <row r="91" spans="2:6">
      <c r="B91" s="271"/>
      <c r="C91" s="271"/>
      <c r="D91" s="107" t="str">
        <f>IF(Table13[[#This Row],[t / s]]="","",IF($B$5="K",Table13[[#This Row],[t / s]],Table13[[#This Row],[t / s]]+273.15))</f>
        <v/>
      </c>
      <c r="E91" s="107" t="str">
        <f>IF(Table13[[#This Row],[t / s]]="","",1/Table13[[#This Row],[Column1]])</f>
        <v/>
      </c>
      <c r="F91" s="107" t="str">
        <f>IF(Table13[[#This Row],['[A'] / M]]="","",LN(Table13[[#This Row],['[A'] / M]]))</f>
        <v/>
      </c>
    </row>
    <row r="92" spans="2:6">
      <c r="B92" s="271"/>
      <c r="C92" s="271"/>
      <c r="D92" s="107" t="str">
        <f>IF(Table13[[#This Row],[t / s]]="","",IF($B$5="K",Table13[[#This Row],[t / s]],Table13[[#This Row],[t / s]]+273.15))</f>
        <v/>
      </c>
      <c r="E92" s="107" t="str">
        <f>IF(Table13[[#This Row],[t / s]]="","",1/Table13[[#This Row],[Column1]])</f>
        <v/>
      </c>
      <c r="F92" s="107" t="str">
        <f>IF(Table13[[#This Row],['[A'] / M]]="","",LN(Table13[[#This Row],['[A'] / M]]))</f>
        <v/>
      </c>
    </row>
    <row r="93" spans="2:6">
      <c r="B93" s="271"/>
      <c r="C93" s="271"/>
      <c r="D93" s="107" t="str">
        <f>IF(Table13[[#This Row],[t / s]]="","",IF($B$5="K",Table13[[#This Row],[t / s]],Table13[[#This Row],[t / s]]+273.15))</f>
        <v/>
      </c>
      <c r="E93" s="107" t="str">
        <f>IF(Table13[[#This Row],[t / s]]="","",1/Table13[[#This Row],[Column1]])</f>
        <v/>
      </c>
      <c r="F93" s="107" t="str">
        <f>IF(Table13[[#This Row],['[A'] / M]]="","",LN(Table13[[#This Row],['[A'] / M]]))</f>
        <v/>
      </c>
    </row>
    <row r="94" spans="2:6">
      <c r="B94" s="271"/>
      <c r="C94" s="271"/>
      <c r="D94" s="107" t="str">
        <f>IF(Table13[[#This Row],[t / s]]="","",IF($B$5="K",Table13[[#This Row],[t / s]],Table13[[#This Row],[t / s]]+273.15))</f>
        <v/>
      </c>
      <c r="E94" s="107" t="str">
        <f>IF(Table13[[#This Row],[t / s]]="","",1/Table13[[#This Row],[Column1]])</f>
        <v/>
      </c>
      <c r="F94" s="107" t="str">
        <f>IF(Table13[[#This Row],['[A'] / M]]="","",LN(Table13[[#This Row],['[A'] / M]]))</f>
        <v/>
      </c>
    </row>
    <row r="95" spans="2:6">
      <c r="B95" s="271"/>
      <c r="C95" s="271"/>
      <c r="D95" s="107" t="str">
        <f>IF(Table13[[#This Row],[t / s]]="","",IF($B$5="K",Table13[[#This Row],[t / s]],Table13[[#This Row],[t / s]]+273.15))</f>
        <v/>
      </c>
      <c r="E95" s="107" t="str">
        <f>IF(Table13[[#This Row],[t / s]]="","",1/Table13[[#This Row],[Column1]])</f>
        <v/>
      </c>
      <c r="F95" s="107" t="str">
        <f>IF(Table13[[#This Row],['[A'] / M]]="","",LN(Table13[[#This Row],['[A'] / M]]))</f>
        <v/>
      </c>
    </row>
    <row r="96" spans="2:6">
      <c r="B96" s="271"/>
      <c r="C96" s="271"/>
      <c r="D96" s="107" t="str">
        <f>IF(Table13[[#This Row],[t / s]]="","",IF($B$5="K",Table13[[#This Row],[t / s]],Table13[[#This Row],[t / s]]+273.15))</f>
        <v/>
      </c>
      <c r="E96" s="107" t="str">
        <f>IF(Table13[[#This Row],[t / s]]="","",1/Table13[[#This Row],[Column1]])</f>
        <v/>
      </c>
      <c r="F96" s="107" t="str">
        <f>IF(Table13[[#This Row],['[A'] / M]]="","",LN(Table13[[#This Row],['[A'] / M]]))</f>
        <v/>
      </c>
    </row>
    <row r="97" spans="2:6">
      <c r="B97" s="271"/>
      <c r="C97" s="271"/>
      <c r="D97" s="107" t="str">
        <f>IF(Table13[[#This Row],[t / s]]="","",IF($B$5="K",Table13[[#This Row],[t / s]],Table13[[#This Row],[t / s]]+273.15))</f>
        <v/>
      </c>
      <c r="E97" s="107" t="str">
        <f>IF(Table13[[#This Row],[t / s]]="","",1/Table13[[#This Row],[Column1]])</f>
        <v/>
      </c>
      <c r="F97" s="107" t="str">
        <f>IF(Table13[[#This Row],['[A'] / M]]="","",LN(Table13[[#This Row],['[A'] / M]]))</f>
        <v/>
      </c>
    </row>
    <row r="98" spans="2:6">
      <c r="B98" s="271"/>
      <c r="C98" s="271"/>
      <c r="D98" s="107" t="str">
        <f>IF(Table13[[#This Row],[t / s]]="","",IF($B$5="K",Table13[[#This Row],[t / s]],Table13[[#This Row],[t / s]]+273.15))</f>
        <v/>
      </c>
      <c r="E98" s="107" t="str">
        <f>IF(Table13[[#This Row],[t / s]]="","",1/Table13[[#This Row],[Column1]])</f>
        <v/>
      </c>
      <c r="F98" s="107" t="str">
        <f>IF(Table13[[#This Row],['[A'] / M]]="","",LN(Table13[[#This Row],['[A'] / M]]))</f>
        <v/>
      </c>
    </row>
    <row r="99" spans="2:6">
      <c r="B99" s="271"/>
      <c r="C99" s="271"/>
      <c r="D99" s="107" t="str">
        <f>IF(Table13[[#This Row],[t / s]]="","",IF($B$5="K",Table13[[#This Row],[t / s]],Table13[[#This Row],[t / s]]+273.15))</f>
        <v/>
      </c>
      <c r="E99" s="107" t="str">
        <f>IF(Table13[[#This Row],[t / s]]="","",1/Table13[[#This Row],[Column1]])</f>
        <v/>
      </c>
      <c r="F99" s="107" t="str">
        <f>IF(Table13[[#This Row],['[A'] / M]]="","",LN(Table13[[#This Row],['[A'] / M]]))</f>
        <v/>
      </c>
    </row>
  </sheetData>
  <conditionalFormatting sqref="K5">
    <cfRule type="colorScale" priority="1">
      <colorScale>
        <cfvo type="num" val="0.85"/>
        <cfvo type="num" val="1"/>
        <color rgb="FFFF7128"/>
        <color theme="9"/>
      </colorScale>
    </cfRule>
  </conditionalFormatting>
  <conditionalFormatting sqref="M4">
    <cfRule type="colorScale" priority="2">
      <colorScale>
        <cfvo type="num" val="0.85"/>
        <cfvo type="num" val="1"/>
        <color rgb="FFFF7128"/>
        <color theme="9"/>
      </colorScale>
    </cfRule>
  </conditionalFormatting>
  <pageMargins left="0.7" right="0.7" top="0.75" bottom="0.75" header="0.3" footer="0.3"/>
  <pageSetup paperSize="9" orientation="portrait" verticalDpi="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EAAB-4A2D-48C2-8C16-DA07D1A491BF}">
  <dimension ref="B1:AN56"/>
  <sheetViews>
    <sheetView tabSelected="1" zoomScaleNormal="100" workbookViewId="0">
      <selection activeCell="I3" sqref="I3"/>
    </sheetView>
  </sheetViews>
  <sheetFormatPr defaultRowHeight="15"/>
  <cols>
    <col min="3" max="3" width="7.7109375" customWidth="1"/>
    <col min="4" max="4" width="14.28515625" customWidth="1"/>
    <col min="5" max="5" width="20.5703125" customWidth="1"/>
    <col min="6" max="6" width="11.28515625" customWidth="1"/>
    <col min="7" max="7" width="8.7109375" customWidth="1"/>
    <col min="8" max="8" width="14.7109375" customWidth="1"/>
    <col min="9" max="9" width="24" customWidth="1"/>
    <col min="11" max="11" width="11.5703125" bestFit="1" customWidth="1"/>
    <col min="13" max="13" width="18" customWidth="1"/>
    <col min="14" max="14" width="16.28515625" customWidth="1"/>
    <col min="15" max="15" width="17.140625" customWidth="1"/>
    <col min="16" max="16" width="20.28515625" customWidth="1"/>
    <col min="18" max="18" width="10.42578125" customWidth="1"/>
    <col min="19" max="19" width="14.7109375" customWidth="1"/>
    <col min="20" max="20" width="18" customWidth="1"/>
    <col min="22" max="22" width="12.42578125" customWidth="1"/>
    <col min="26" max="26" width="16.7109375" customWidth="1"/>
    <col min="27" max="27" width="10.5703125" customWidth="1"/>
    <col min="28" max="28" width="14.7109375" customWidth="1"/>
    <col min="29" max="30" width="12.85546875" customWidth="1"/>
    <col min="31" max="31" width="18.85546875" customWidth="1"/>
    <col min="32" max="32" width="12.28515625" bestFit="1" customWidth="1"/>
    <col min="37" max="37" width="27.28515625" customWidth="1"/>
    <col min="38" max="38" width="18" customWidth="1"/>
    <col min="39" max="39" width="14.7109375" customWidth="1"/>
  </cols>
  <sheetData>
    <row r="1" spans="2:40" ht="24" customHeight="1" thickBot="1">
      <c r="Z1" t="s">
        <v>5848</v>
      </c>
    </row>
    <row r="2" spans="2:40" ht="62.25" customHeight="1" thickBot="1">
      <c r="B2" s="204" t="s">
        <v>5782</v>
      </c>
      <c r="C2" s="2"/>
      <c r="D2" s="2"/>
      <c r="E2" s="2"/>
      <c r="F2" s="2"/>
      <c r="G2" s="2"/>
      <c r="H2" s="2"/>
      <c r="I2" s="2"/>
      <c r="J2" s="5"/>
      <c r="M2" s="204" t="s">
        <v>5837</v>
      </c>
      <c r="N2" s="2"/>
      <c r="O2" s="2"/>
      <c r="P2" s="2"/>
      <c r="Q2" s="2"/>
      <c r="R2" s="2"/>
      <c r="S2" s="2"/>
      <c r="T2" s="2"/>
      <c r="U2" s="5"/>
      <c r="Z2" s="142" t="s">
        <v>5822</v>
      </c>
      <c r="AG2" t="s">
        <v>5824</v>
      </c>
      <c r="AK2" s="142" t="s">
        <v>5823</v>
      </c>
    </row>
    <row r="3" spans="2:40" ht="31.5" customHeight="1" thickBot="1">
      <c r="B3" s="7"/>
      <c r="J3" s="9"/>
      <c r="M3" s="7"/>
      <c r="U3" s="9"/>
      <c r="Z3" s="69" t="s">
        <v>5645</v>
      </c>
      <c r="AA3" s="78">
        <f>IF(E12="",4,IF(E12&lt;2,2,IF(NOT(ISNUMBER(E12)),4,IF(E12&gt;7,7,E12))))</f>
        <v>3</v>
      </c>
      <c r="AB3" s="2" t="s">
        <v>5734</v>
      </c>
      <c r="AC3" s="5" t="s">
        <v>5781</v>
      </c>
      <c r="AG3" t="s">
        <v>5694</v>
      </c>
      <c r="AH3" t="s">
        <v>5736</v>
      </c>
      <c r="AK3" s="69" t="s">
        <v>5645</v>
      </c>
      <c r="AL3" s="78">
        <f>IF(P12="",4,IF(P12&lt;2,2,IF(NOT(ISNUMBER(P12)),4,IF(P12&gt;7,7,P12))))</f>
        <v>3</v>
      </c>
      <c r="AM3" s="2" t="s">
        <v>5734</v>
      </c>
      <c r="AN3" s="5" t="s">
        <v>5781</v>
      </c>
    </row>
    <row r="4" spans="2:40" ht="31.5" customHeight="1" thickBot="1">
      <c r="B4" s="7"/>
      <c r="C4" s="200" t="s">
        <v>5644</v>
      </c>
      <c r="D4" s="201"/>
      <c r="E4" s="203"/>
      <c r="F4" s="201"/>
      <c r="G4" s="201"/>
      <c r="H4" s="202"/>
      <c r="J4" s="9"/>
      <c r="M4" s="7"/>
      <c r="N4" s="235" t="s">
        <v>5644</v>
      </c>
      <c r="O4" s="236"/>
      <c r="P4" s="203"/>
      <c r="Q4" s="201"/>
      <c r="R4" s="236"/>
      <c r="S4" s="237"/>
      <c r="U4" s="9"/>
      <c r="Z4" s="7"/>
      <c r="AC4" s="9"/>
      <c r="AG4" t="s">
        <v>5695</v>
      </c>
      <c r="AH4" t="s">
        <v>5737</v>
      </c>
      <c r="AK4" s="7" t="s">
        <v>5829</v>
      </c>
      <c r="AL4" t="b">
        <f>AND(ISNUMBER(O10),ISNUMBER(S10),ISNUMBER(AL10))</f>
        <v>0</v>
      </c>
      <c r="AN4" s="9"/>
    </row>
    <row r="5" spans="2:40">
      <c r="B5" s="7"/>
      <c r="C5" s="182" t="s">
        <v>5646</v>
      </c>
      <c r="D5" s="258"/>
      <c r="E5" s="326"/>
      <c r="F5" s="327"/>
      <c r="G5" s="40" t="s">
        <v>5647</v>
      </c>
      <c r="H5" s="262"/>
      <c r="J5" s="9"/>
      <c r="M5" s="7"/>
      <c r="N5" s="182" t="s">
        <v>5838</v>
      </c>
      <c r="O5" s="266"/>
      <c r="P5" s="326"/>
      <c r="Q5" s="327"/>
      <c r="R5" s="40" t="s">
        <v>5839</v>
      </c>
      <c r="S5" s="268"/>
      <c r="U5" s="9"/>
      <c r="Z5" s="7"/>
      <c r="AC5" s="9" t="str">
        <f t="shared" ref="AC5:AC45" si="0">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B5,$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c r="AG5" t="s">
        <v>5696</v>
      </c>
      <c r="AH5" t="s">
        <v>5738</v>
      </c>
      <c r="AK5" s="7" t="s">
        <v>5830</v>
      </c>
      <c r="AL5" t="b">
        <f>AND(ISNUMBER(O5),ISNUMBER(S5),ISNUMBER(AL10))</f>
        <v>0</v>
      </c>
      <c r="AN5" s="9" t="str">
        <f t="shared" ref="AN5:AN25" si="1">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5,$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6" spans="2:40">
      <c r="B6" s="7"/>
      <c r="C6" s="182" t="s">
        <v>5648</v>
      </c>
      <c r="D6" s="259"/>
      <c r="E6" s="328"/>
      <c r="F6" s="329"/>
      <c r="G6" s="40" t="s">
        <v>5649</v>
      </c>
      <c r="H6" s="262"/>
      <c r="J6" s="9"/>
      <c r="M6" s="7"/>
      <c r="N6" s="182" t="s">
        <v>5648</v>
      </c>
      <c r="O6" s="259"/>
      <c r="P6" s="328"/>
      <c r="Q6" s="329"/>
      <c r="R6" s="40" t="s">
        <v>5649</v>
      </c>
      <c r="S6" s="262"/>
      <c r="U6" s="9"/>
      <c r="Z6" s="139" t="s">
        <v>5650</v>
      </c>
      <c r="AA6" s="121" t="b">
        <f>IF(ISNUMBER(D6),D6)</f>
        <v>0</v>
      </c>
      <c r="AC6" s="9" t="str">
        <f t="shared" si="0"/>
        <v/>
      </c>
      <c r="AG6" t="s">
        <v>5697</v>
      </c>
      <c r="AH6" t="s">
        <v>5739</v>
      </c>
      <c r="AK6" s="139" t="s">
        <v>5650</v>
      </c>
      <c r="AL6" s="121" t="b">
        <f>IF(ISNUMBER(O6),O6)</f>
        <v>0</v>
      </c>
      <c r="AN6" s="9" t="str">
        <f t="shared" si="1"/>
        <v/>
      </c>
    </row>
    <row r="7" spans="2:40">
      <c r="B7" s="7"/>
      <c r="C7" s="182" t="s">
        <v>5651</v>
      </c>
      <c r="D7" s="260"/>
      <c r="E7" s="328"/>
      <c r="F7" s="329"/>
      <c r="G7" s="40" t="s">
        <v>5652</v>
      </c>
      <c r="H7" s="263"/>
      <c r="J7" s="9"/>
      <c r="M7" s="7"/>
      <c r="N7" s="182" t="s">
        <v>5651</v>
      </c>
      <c r="O7" s="260"/>
      <c r="P7" s="328"/>
      <c r="Q7" s="329"/>
      <c r="R7" s="40" t="s">
        <v>5652</v>
      </c>
      <c r="S7" s="263"/>
      <c r="U7" s="9"/>
      <c r="Z7" s="7" t="s">
        <v>5653</v>
      </c>
      <c r="AA7" s="125" t="b">
        <f>IF(ISNUMBER(D7),10^(-D7))</f>
        <v>0</v>
      </c>
      <c r="AC7" s="9" t="str">
        <f t="shared" si="0"/>
        <v/>
      </c>
      <c r="AG7" t="s">
        <v>5698</v>
      </c>
      <c r="AH7" t="s">
        <v>5740</v>
      </c>
      <c r="AK7" s="7" t="s">
        <v>5653</v>
      </c>
      <c r="AL7" s="125" t="b">
        <f>IF(ISNUMBER(O7),10^(-O7))</f>
        <v>0</v>
      </c>
      <c r="AN7" s="9" t="str">
        <f t="shared" si="1"/>
        <v/>
      </c>
    </row>
    <row r="8" spans="2:40">
      <c r="B8" s="7"/>
      <c r="C8" s="182" t="s">
        <v>5654</v>
      </c>
      <c r="D8" s="260"/>
      <c r="E8" s="328"/>
      <c r="F8" s="329"/>
      <c r="G8" s="40" t="s">
        <v>5655</v>
      </c>
      <c r="H8" s="263"/>
      <c r="J8" s="9"/>
      <c r="M8" s="7"/>
      <c r="N8" s="182" t="s">
        <v>5654</v>
      </c>
      <c r="O8" s="260"/>
      <c r="P8" s="328"/>
      <c r="Q8" s="329"/>
      <c r="R8" s="40" t="s">
        <v>5655</v>
      </c>
      <c r="S8" s="263"/>
      <c r="U8" s="9"/>
      <c r="Z8" s="7" t="s">
        <v>5656</v>
      </c>
      <c r="AA8" s="125" t="b">
        <f>IF(ISNUMBER(H6),10^(-14)/H6)</f>
        <v>0</v>
      </c>
      <c r="AC8" s="9" t="str">
        <f t="shared" si="0"/>
        <v/>
      </c>
      <c r="AG8" t="s">
        <v>5699</v>
      </c>
      <c r="AH8" t="s">
        <v>5741</v>
      </c>
      <c r="AK8" s="7" t="s">
        <v>5656</v>
      </c>
      <c r="AL8" s="125" t="b">
        <f>IF(ISNUMBER(S6),10^(-14)/S6)</f>
        <v>0</v>
      </c>
      <c r="AN8" s="9" t="str">
        <f t="shared" si="1"/>
        <v/>
      </c>
    </row>
    <row r="9" spans="2:40" ht="15.75" thickBot="1">
      <c r="B9" s="7"/>
      <c r="C9" s="183" t="s">
        <v>5657</v>
      </c>
      <c r="D9" s="261"/>
      <c r="E9" s="330"/>
      <c r="F9" s="331"/>
      <c r="G9" s="184" t="s">
        <v>5658</v>
      </c>
      <c r="H9" s="264"/>
      <c r="J9" s="9"/>
      <c r="K9" s="185"/>
      <c r="M9" s="7"/>
      <c r="N9" s="182" t="s">
        <v>5657</v>
      </c>
      <c r="O9" s="258"/>
      <c r="P9" s="328"/>
      <c r="Q9" s="329"/>
      <c r="R9" s="40" t="s">
        <v>5658</v>
      </c>
      <c r="S9" s="262"/>
      <c r="U9" s="9"/>
      <c r="Z9" s="7" t="s">
        <v>5659</v>
      </c>
      <c r="AA9" s="125" t="b">
        <f>IF(ISNUMBER(H7),10^(H7-14))</f>
        <v>0</v>
      </c>
      <c r="AC9" s="9" t="str">
        <f t="shared" si="0"/>
        <v/>
      </c>
      <c r="AG9" t="s">
        <v>5700</v>
      </c>
      <c r="AH9" t="s">
        <v>5742</v>
      </c>
      <c r="AK9" s="7" t="s">
        <v>5659</v>
      </c>
      <c r="AL9" s="125" t="b">
        <f>IF(ISNUMBER(S7),10^(S7-14))</f>
        <v>0</v>
      </c>
      <c r="AN9" s="9" t="str">
        <f t="shared" si="1"/>
        <v/>
      </c>
    </row>
    <row r="10" spans="2:40" ht="24.75" customHeight="1" thickBot="1">
      <c r="B10" s="7"/>
      <c r="J10" s="9"/>
      <c r="M10" s="7"/>
      <c r="N10" s="183" t="s">
        <v>5840</v>
      </c>
      <c r="O10" s="267"/>
      <c r="P10" s="330"/>
      <c r="Q10" s="331"/>
      <c r="R10" s="184" t="s">
        <v>5841</v>
      </c>
      <c r="S10" s="269"/>
      <c r="U10" s="9"/>
      <c r="Z10" s="230" t="s">
        <v>5660</v>
      </c>
      <c r="AA10" s="177" t="str" cm="1">
        <f t="array" ref="AA10">IFERROR(_xlfn.IFS(AA6&lt;&gt;FALSE,AA6,AA7&lt;&gt;FALSE,AA7,AA8&lt;&gt;FALSE,AA8,AA9&lt;&gt;FALSE,AA9),"")</f>
        <v/>
      </c>
      <c r="AB10" t="str">
        <f>IFERROR(IF(
    OR(ABS(AA10)&lt;0.001,ABS(AA10)&gt;MIN(10^($AA$3)-1,9999)),
    TEXT(AA10, "0," &amp; REPT("0", $AA$3-1) &amp; "E+00"),
    IF(AA10="","",
IF(INT(LOG10(ABS(AA10)))+1=$AA$3,TEXT(AA10,"0"),
TEXT(IF(AA10&lt;0,"-","")&amp;LEFT(TEXT(ABS(AA10),"0,"&amp;REPT("0",$AA$3-1)&amp;"E+00"),$AA$3+1)*10^FLOOR(LOG10(TEXT(ABS(AA10),"0,"&amp;REPT("0",$AA$3-1)&amp;"E+00")),1),(""&amp;(IF(OR(AND(FLOOR(LOG10(TEXT(ABS(AA10),"0,"&amp;REPT("0",$AA$3-1)&amp;"E+00")),1)+1=$AA$3,RIGHT(LEFT(TEXT(ABS(AA10),"0,"&amp;REPT("0",$AA$3-1)&amp;"E+00"),$AA$3+1)*10^FLOOR(LOG10(TEXT(ABS(AA10),"0,"&amp;REPT("0",$AA$3-1)&amp;"E+00")),1),1)="0"),LOG10(TEXT(ABS(AA10),"0,"&amp;REPT("0",$AA$3-1)&amp;"E+00"))&lt;=$AA$3-1),"0,","#")&amp;REPT("0",IF($AA$3-1-(FLOOR(LOG10(TEXT(ABS(AA10),"0,"&amp;REPT("0",$AA$3-1)&amp;"E+00")),1))&gt;0,$AA$3-1-(FLOOR(LOG10(TEXT(ABS(AA10),"0,"&amp;REPT("0",$AA$3-1)&amp;"E+00")),1)),0))))))
)),"")</f>
        <v/>
      </c>
      <c r="AC10" s="9" t="str">
        <f t="shared" si="0"/>
        <v/>
      </c>
      <c r="AG10" t="s">
        <v>5701</v>
      </c>
      <c r="AH10" t="s">
        <v>5743</v>
      </c>
      <c r="AK10" s="230" t="s">
        <v>5660</v>
      </c>
      <c r="AL10" s="177" t="str" cm="1">
        <f t="array" ref="AL10">IFERROR(_xlfn.IFS(AL6&lt;&gt;FALSE,AL6,AL7&lt;&gt;FALSE,AL7,AL8&lt;&gt;FALSE,AL8,AL9&lt;&gt;FALSE,AL9),"")</f>
        <v/>
      </c>
      <c r="AM10" t="str">
        <f>IFERROR(IF(
    OR(ABS(AL10)&lt;0.001,ABS(AL10)&gt;MIN(10^($AL$3)-1,9999)),
    TEXT(AL10, "0," &amp; REPT("0", $AL$3-1) &amp; "E+00"),
    IF(AL10="","",
IF(INT(LOG10(ABS(AL10)))+1=$AL$3,TEXT(AL10,"0"),
TEXT(IF(AL10&lt;0,"-","")&amp;LEFT(TEXT(ABS(AL10),"0,"&amp;REPT("0",$AL$3-1)&amp;"E+00"),$AL$3+1)*10^FLOOR(LOG10(TEXT(ABS(AL10),"0,"&amp;REPT("0",$AL$3-1)&amp;"E+00")),1),(""&amp;(IF(OR(AND(FLOOR(LOG10(TEXT(ABS(AL10),"0,"&amp;REPT("0",$AL$3-1)&amp;"E+00")),1)+1=$AL$3,RIGHT(LEFT(TEXT(ABS(AL10),"0,"&amp;REPT("0",$AL$3-1)&amp;"E+00"),$AL$3+1)*10^FLOOR(LOG10(TEXT(ABS(AL10),"0,"&amp;REPT("0",$AL$3-1)&amp;"E+00")),1),1)="0"),LOG10(TEXT(ABS(AL10),"0,"&amp;REPT("0",$AL$3-1)&amp;"E+00"))&lt;=$AL$3-1),"0,","#")&amp;REPT("0",IF($AL$3-1-(FLOOR(LOG10(TEXT(ABS(AL10),"0,"&amp;REPT("0",$AL$3-1)&amp;"E+00")),1))&gt;0,$AL$3-1-(FLOOR(LOG10(TEXT(ABS(AL10),"0,"&amp;REPT("0",$AL$3-1)&amp;"E+00")),1)),0))))))
)),"")</f>
        <v/>
      </c>
      <c r="AN10" s="9" t="str">
        <f t="shared" si="1"/>
        <v/>
      </c>
    </row>
    <row r="11" spans="2:40" ht="15.75" thickBot="1">
      <c r="B11" s="7"/>
      <c r="J11" s="9"/>
      <c r="M11" s="7"/>
      <c r="U11" s="9"/>
      <c r="Z11" s="231" t="s">
        <v>5661</v>
      </c>
      <c r="AA11" s="128" t="str">
        <f>IF(ISNUMBER(AA10),-LOG10(AA10),"")</f>
        <v/>
      </c>
      <c r="AB11" t="str">
        <f>IFERROR(IF(
    OR(ABS(AA11)&lt;0.001,ABS(AA11)&gt;MIN(10^($AA$3)-1,9999)),
    TEXT(AA11, "0," &amp; REPT("0", $AA$3-1) &amp; "E+00"),
    IF(AA11="","",
IF(INT(LOG10(ABS(AA11)))+1=$AA$3,TEXT(AA11,"0"),
TEXT(IF(AA11&lt;0,"-","")&amp;LEFT(TEXT(ABS(AA11),"0,"&amp;REPT("0",$AA$3-1)&amp;"E+00"),$AA$3+1)*10^FLOOR(LOG10(TEXT(ABS(AA11),"0,"&amp;REPT("0",$AA$3-1)&amp;"E+00")),1),(""&amp;(IF(OR(AND(FLOOR(LOG10(TEXT(ABS(AA11),"0,"&amp;REPT("0",$AA$3-1)&amp;"E+00")),1)+1=$AA$3,RIGHT(LEFT(TEXT(ABS(AA11),"0,"&amp;REPT("0",$AA$3-1)&amp;"E+00"),$AA$3+1)*10^FLOOR(LOG10(TEXT(ABS(AA11),"0,"&amp;REPT("0",$AA$3-1)&amp;"E+00")),1),1)="0"),LOG10(TEXT(ABS(AA11),"0,"&amp;REPT("0",$AA$3-1)&amp;"E+00"))&lt;=$AA$3-1),"0,","#")&amp;REPT("0",IF($AA$3-1-(FLOOR(LOG10(TEXT(ABS(AA11),"0,"&amp;REPT("0",$AA$3-1)&amp;"E+00")),1))&gt;0,$AA$3-1-(FLOOR(LOG10(TEXT(ABS(AA11),"0,"&amp;REPT("0",$AA$3-1)&amp;"E+00")),1)),0))))))
)),"")</f>
        <v/>
      </c>
      <c r="AC11" s="9" t="str">
        <f t="shared" si="0"/>
        <v/>
      </c>
      <c r="AG11" t="s">
        <v>5702</v>
      </c>
      <c r="AH11" t="s">
        <v>5744</v>
      </c>
      <c r="AK11" s="231" t="s">
        <v>5661</v>
      </c>
      <c r="AL11" s="128" t="str">
        <f>IF(ISNUMBER(AL10),-LOG10(AL10),"")</f>
        <v/>
      </c>
      <c r="AM11" t="str">
        <f>IFERROR(IF(
    OR(ABS(AL11)&lt;0.001,ABS(AL11)&gt;MIN(10^($AL$3)-1,9999)),
    TEXT(AL11, "0," &amp; REPT("0", $AL$3-1) &amp; "E+00"),
    IF(AL11="","",
IF(INT(LOG10(ABS(AL11)))+1=$AL$3,TEXT(AL11,"0"),
TEXT(IF(AL11&lt;0,"-","")&amp;LEFT(TEXT(ABS(AL11),"0,"&amp;REPT("0",$AL$3-1)&amp;"E+00"),$AL$3+1)*10^FLOOR(LOG10(TEXT(ABS(AL11),"0,"&amp;REPT("0",$AL$3-1)&amp;"E+00")),1),(""&amp;(IF(OR(AND(FLOOR(LOG10(TEXT(ABS(AL11),"0,"&amp;REPT("0",$AL$3-1)&amp;"E+00")),1)+1=$AL$3,RIGHT(LEFT(TEXT(ABS(AL11),"0,"&amp;REPT("0",$AL$3-1)&amp;"E+00"),$AL$3+1)*10^FLOOR(LOG10(TEXT(ABS(AL11),"0,"&amp;REPT("0",$AL$3-1)&amp;"E+00")),1),1)="0"),LOG10(TEXT(ABS(AL11),"0,"&amp;REPT("0",$AL$3-1)&amp;"E+00"))&lt;=$AL$3-1),"0,","#")&amp;REPT("0",IF($AL$3-1-(FLOOR(LOG10(TEXT(ABS(AL11),"0,"&amp;REPT("0",$AL$3-1)&amp;"E+00")),1))&gt;0,$AL$3-1-(FLOOR(LOG10(TEXT(ABS(AL11),"0,"&amp;REPT("0",$AL$3-1)&amp;"E+00")),1)),0))))))
)),"")</f>
        <v/>
      </c>
      <c r="AN11" s="9" t="str">
        <f t="shared" si="1"/>
        <v/>
      </c>
    </row>
    <row r="12" spans="2:40" ht="15.75" thickBot="1">
      <c r="B12" s="7"/>
      <c r="C12" s="69" t="s">
        <v>5662</v>
      </c>
      <c r="D12" s="80"/>
      <c r="E12" s="265">
        <v>3</v>
      </c>
      <c r="J12" s="9"/>
      <c r="M12" s="7"/>
      <c r="N12" s="69" t="s">
        <v>5662</v>
      </c>
      <c r="O12" s="80"/>
      <c r="P12" s="265">
        <v>3</v>
      </c>
      <c r="U12" s="9"/>
      <c r="Z12" s="230"/>
      <c r="AC12" s="9" t="str">
        <f t="shared" si="0"/>
        <v/>
      </c>
      <c r="AG12" t="s">
        <v>5703</v>
      </c>
      <c r="AH12" t="s">
        <v>5745</v>
      </c>
      <c r="AK12" s="230"/>
      <c r="AN12" s="9" t="str">
        <f t="shared" si="1"/>
        <v/>
      </c>
    </row>
    <row r="13" spans="2:40" ht="15.75" thickBot="1">
      <c r="B13" s="7"/>
      <c r="J13" s="9"/>
      <c r="M13" s="7"/>
      <c r="U13" s="9"/>
      <c r="Z13" s="139" t="s">
        <v>5663</v>
      </c>
      <c r="AA13" s="121" t="b">
        <f>IF(ISNUMBER(H6),H6)</f>
        <v>0</v>
      </c>
      <c r="AC13" s="9" t="str">
        <f t="shared" si="0"/>
        <v/>
      </c>
      <c r="AG13" t="s">
        <v>5704</v>
      </c>
      <c r="AH13" t="s">
        <v>5746</v>
      </c>
      <c r="AK13" s="139" t="s">
        <v>5663</v>
      </c>
      <c r="AL13" s="121" t="b">
        <f>IF(ISNUMBER(S6),S6)</f>
        <v>0</v>
      </c>
      <c r="AN13" s="9" t="str">
        <f t="shared" si="1"/>
        <v/>
      </c>
    </row>
    <row r="14" spans="2:40" ht="35.25" customHeight="1" thickBot="1">
      <c r="B14" s="7"/>
      <c r="C14" s="197" t="s">
        <v>5664</v>
      </c>
      <c r="D14" s="198"/>
      <c r="E14" s="198"/>
      <c r="F14" s="198"/>
      <c r="G14" s="198"/>
      <c r="H14" s="199"/>
      <c r="I14" s="199"/>
      <c r="J14" s="9"/>
      <c r="M14" s="7"/>
      <c r="N14" s="238" t="s">
        <v>5664</v>
      </c>
      <c r="O14" s="239"/>
      <c r="P14" s="239"/>
      <c r="Q14" s="239"/>
      <c r="R14" s="239"/>
      <c r="S14" s="241"/>
      <c r="T14" s="241"/>
      <c r="U14" s="9"/>
      <c r="Z14" s="7" t="s">
        <v>5665</v>
      </c>
      <c r="AA14" s="125" t="b">
        <f>IF(ISNUMBER(H7),10^(-H7))</f>
        <v>0</v>
      </c>
      <c r="AC14" s="9" t="str">
        <f t="shared" si="0"/>
        <v/>
      </c>
      <c r="AG14" t="s">
        <v>5705</v>
      </c>
      <c r="AH14" t="s">
        <v>5747</v>
      </c>
      <c r="AK14" s="7" t="s">
        <v>5665</v>
      </c>
      <c r="AL14" s="125" t="b">
        <f>IF(ISNUMBER(S7),10^(-S7))</f>
        <v>0</v>
      </c>
      <c r="AN14" s="9" t="str">
        <f t="shared" si="1"/>
        <v/>
      </c>
    </row>
    <row r="15" spans="2:40">
      <c r="B15" s="7"/>
      <c r="C15" s="190"/>
      <c r="D15" s="191" t="s">
        <v>5666</v>
      </c>
      <c r="E15" s="191" t="str">
        <f>AA3&amp;" betydende cifre"</f>
        <v>3 betydende cifre</v>
      </c>
      <c r="F15" s="191"/>
      <c r="G15" s="191"/>
      <c r="H15" s="191" t="s">
        <v>5666</v>
      </c>
      <c r="I15" s="192" t="str">
        <f>AA3&amp;" betydende cifre"</f>
        <v>3 betydende cifre</v>
      </c>
      <c r="J15" s="9"/>
      <c r="M15" s="7"/>
      <c r="N15" s="95"/>
      <c r="O15" s="19" t="s">
        <v>5666</v>
      </c>
      <c r="P15" s="19" t="str">
        <f>AL3&amp;" betydende cifre"</f>
        <v>3 betydende cifre</v>
      </c>
      <c r="Q15" s="191"/>
      <c r="R15" s="191"/>
      <c r="S15" s="191" t="s">
        <v>5666</v>
      </c>
      <c r="T15" s="192" t="str">
        <f>$AA$3&amp;" betydende cifre"</f>
        <v>3 betydende cifre</v>
      </c>
      <c r="U15" s="9"/>
      <c r="Z15" s="7" t="s">
        <v>5667</v>
      </c>
      <c r="AA15" s="125" t="b">
        <f>IF(ISNUMBER(D6),10^(-14)/D6)</f>
        <v>0</v>
      </c>
      <c r="AC15" s="9" t="str">
        <f t="shared" si="0"/>
        <v/>
      </c>
      <c r="AG15" t="s">
        <v>5706</v>
      </c>
      <c r="AH15" t="s">
        <v>5748</v>
      </c>
      <c r="AK15" s="7" t="s">
        <v>5667</v>
      </c>
      <c r="AL15" s="125" t="b">
        <f>IF(ISNUMBER(O6),10^(-14)/O6)</f>
        <v>0</v>
      </c>
      <c r="AN15" s="9" t="str">
        <f t="shared" si="1"/>
        <v/>
      </c>
    </row>
    <row r="16" spans="2:40">
      <c r="B16" s="7"/>
      <c r="C16" s="187" t="s">
        <v>5646</v>
      </c>
      <c r="D16" t="str">
        <f>AA40</f>
        <v/>
      </c>
      <c r="E16" s="18" t="str">
        <f>AC40&amp;IF(D16="",""," M")</f>
        <v/>
      </c>
      <c r="F16" s="328"/>
      <c r="G16" s="188" t="s">
        <v>5647</v>
      </c>
      <c r="H16" t="str">
        <f>AA45</f>
        <v/>
      </c>
      <c r="I16" s="189" t="str">
        <f>IF(AA45="","",AC45&amp;"M")</f>
        <v/>
      </c>
      <c r="J16" s="9"/>
      <c r="M16" s="7"/>
      <c r="N16" s="182" t="s">
        <v>5826</v>
      </c>
      <c r="O16" s="10" t="str">
        <f>AL40</f>
        <v/>
      </c>
      <c r="P16" s="10" t="str">
        <f>AN40&amp;IF(O16="",""," M")</f>
        <v/>
      </c>
      <c r="Q16" s="332"/>
      <c r="R16" s="40" t="s">
        <v>5827</v>
      </c>
      <c r="S16" s="10" t="str">
        <f>AL45</f>
        <v/>
      </c>
      <c r="T16" s="178" t="str">
        <f>IF(AL45="","",AN45&amp;"M")</f>
        <v/>
      </c>
      <c r="U16" s="9"/>
      <c r="Z16" s="7" t="s">
        <v>5668</v>
      </c>
      <c r="AA16" s="125" t="b">
        <f>IF(ISNUMBER(D7),10^(D7-14))</f>
        <v>0</v>
      </c>
      <c r="AC16" s="9" t="str">
        <f t="shared" si="0"/>
        <v/>
      </c>
      <c r="AG16" t="s">
        <v>5707</v>
      </c>
      <c r="AH16" t="s">
        <v>5749</v>
      </c>
      <c r="AK16" s="7" t="s">
        <v>5668</v>
      </c>
      <c r="AL16" s="125" t="b">
        <f>IF(ISNUMBER(O7),10^(O7-14))</f>
        <v>0</v>
      </c>
      <c r="AN16" s="9" t="str">
        <f t="shared" si="1"/>
        <v/>
      </c>
    </row>
    <row r="17" spans="2:40">
      <c r="B17" s="7"/>
      <c r="C17" s="182" t="s">
        <v>5648</v>
      </c>
      <c r="D17" t="str">
        <f>AA10</f>
        <v/>
      </c>
      <c r="E17" s="18" t="str">
        <f>AC10&amp;IF(D17&lt;&gt;""," M","")</f>
        <v/>
      </c>
      <c r="F17" s="328"/>
      <c r="G17" s="40" t="s">
        <v>5649</v>
      </c>
      <c r="H17" t="str">
        <f>AA17</f>
        <v/>
      </c>
      <c r="I17" s="178" t="str">
        <f>AC17&amp;IF(H17&lt;&gt;""," M","")</f>
        <v/>
      </c>
      <c r="J17" s="9"/>
      <c r="M17" s="7"/>
      <c r="N17" s="182" t="s">
        <v>5648</v>
      </c>
      <c r="O17" s="10" t="str">
        <f>AL10</f>
        <v/>
      </c>
      <c r="P17" s="10" t="str">
        <f>AN10&amp;IF(O17&lt;&gt;""," M","")</f>
        <v/>
      </c>
      <c r="Q17" s="333"/>
      <c r="R17" s="40" t="s">
        <v>5649</v>
      </c>
      <c r="S17" s="10" t="str">
        <f>AL17</f>
        <v/>
      </c>
      <c r="T17" s="178" t="str">
        <f>AN17&amp;IF(S17&lt;&gt;""," M","")</f>
        <v/>
      </c>
      <c r="U17" s="9"/>
      <c r="Z17" s="230" t="s">
        <v>5669</v>
      </c>
      <c r="AA17" s="179" t="str" cm="1">
        <f t="array" ref="AA17">IFERROR(_xlfn.IFS(AA13,AA13,AA14&lt;&gt;FALSE,AA14,AA15&lt;&gt;FALSE,AA15,AA16&lt;&gt;FALSE,AA16),"")</f>
        <v/>
      </c>
      <c r="AB17" t="str">
        <f>IFERROR(IF(
    OR(ABS(AA17)&lt;0.001,ABS(AA17)&gt;MIN(10^($AA$3)-1,9999)),
    TEXT(AA17, "0," &amp; REPT("0", $AA$3-1) &amp; "E+00"),
    IF(AA17="","",
IF(INT(LOG10(ABS(AA17)))+1=$AA$3,TEXT(AA17,"0"),
TEXT(IF(AA17&lt;0,"-","")&amp;LEFT(TEXT(ABS(AA17),"0,"&amp;REPT("0",$AA$3-1)&amp;"E+00"),$AA$3+1)*10^FLOOR(LOG10(TEXT(ABS(AA17),"0,"&amp;REPT("0",$AA$3-1)&amp;"E+00")),1),(""&amp;(IF(OR(AND(FLOOR(LOG10(TEXT(ABS(AA17),"0,"&amp;REPT("0",$AA$3-1)&amp;"E+00")),1)+1=$AA$3,RIGHT(LEFT(TEXT(ABS(AA17),"0,"&amp;REPT("0",$AA$3-1)&amp;"E+00"),$AA$3+1)*10^FLOOR(LOG10(TEXT(ABS(AA17),"0,"&amp;REPT("0",$AA$3-1)&amp;"E+00")),1),1)="0"),LOG10(TEXT(ABS(AA17),"0,"&amp;REPT("0",$AA$3-1)&amp;"E+00"))&lt;=$AA$3-1),"0,","#")&amp;REPT("0",IF($AA$3-1-(FLOOR(LOG10(TEXT(ABS(AA17),"0,"&amp;REPT("0",$AA$3-1)&amp;"E+00")),1))&gt;0,$AA$3-1-(FLOOR(LOG10(TEXT(ABS(AA17),"0,"&amp;REPT("0",$AA$3-1)&amp;"E+00")),1)),0))))))
)),"")</f>
        <v/>
      </c>
      <c r="AC17" s="9" t="str">
        <f t="shared" si="0"/>
        <v/>
      </c>
      <c r="AG17" t="s">
        <v>5708</v>
      </c>
      <c r="AH17" t="s">
        <v>5750</v>
      </c>
      <c r="AK17" s="230" t="s">
        <v>5669</v>
      </c>
      <c r="AL17" s="179" t="str" cm="1">
        <f t="array" ref="AL17">IFERROR(_xlfn.IFS(AL13,AL13,AL14&lt;&gt;FALSE,AL14,AL15&lt;&gt;FALSE,AL15,AL16&lt;&gt;FALSE,AL16),"")</f>
        <v/>
      </c>
      <c r="AM17" t="str">
        <f>IFERROR(IF(
    OR(ABS(AL17)&lt;0.001,ABS(AL17)&gt;MIN(10^($AL$3)-1,9999)),
    TEXT(AL17, "0," &amp; REPT("0", $AL$3-1) &amp; "E+00"),
    IF(AL17="","",
IF(INT(LOG10(ABS(AL17)))+1=$AL$3,TEXT(AL17,"0"),
TEXT(IF(AL17&lt;0,"-","")&amp;LEFT(TEXT(ABS(AL17),"0,"&amp;REPT("0",$AL$3-1)&amp;"E+00"),$AL$3+1)*10^FLOOR(LOG10(TEXT(ABS(AL17),"0,"&amp;REPT("0",$AL$3-1)&amp;"E+00")),1),(""&amp;(IF(OR(AND(FLOOR(LOG10(TEXT(ABS(AL17),"0,"&amp;REPT("0",$AL$3-1)&amp;"E+00")),1)+1=$AL$3,RIGHT(LEFT(TEXT(ABS(AL17),"0,"&amp;REPT("0",$AL$3-1)&amp;"E+00"),$AL$3+1)*10^FLOOR(LOG10(TEXT(ABS(AL17),"0,"&amp;REPT("0",$AL$3-1)&amp;"E+00")),1),1)="0"),LOG10(TEXT(ABS(AL17),"0,"&amp;REPT("0",$AL$3-1)&amp;"E+00"))&lt;=$AL$3-1),"0,","#")&amp;REPT("0",IF($AL$3-1-(FLOOR(LOG10(TEXT(ABS(AL17),"0,"&amp;REPT("0",$AL$3-1)&amp;"E+00")),1))&gt;0,$AL$3-1-(FLOOR(LOG10(TEXT(ABS(AL17),"0,"&amp;REPT("0",$AL$3-1)&amp;"E+00")),1)),0))))))
)),"")</f>
        <v/>
      </c>
      <c r="AN17" s="9" t="str">
        <f t="shared" si="1"/>
        <v/>
      </c>
    </row>
    <row r="18" spans="2:40">
      <c r="B18" s="7"/>
      <c r="C18" s="182" t="str">
        <f>"pKₛ"</f>
        <v>pKₛ</v>
      </c>
      <c r="D18" t="str">
        <f>AA11</f>
        <v/>
      </c>
      <c r="E18" s="18" t="str">
        <f>AC11</f>
        <v/>
      </c>
      <c r="F18" s="328"/>
      <c r="G18" s="40" t="s">
        <v>5652</v>
      </c>
      <c r="H18" t="str">
        <f>AA18</f>
        <v/>
      </c>
      <c r="I18" s="178" t="str">
        <f>AC18</f>
        <v/>
      </c>
      <c r="J18" s="9"/>
      <c r="M18" s="7"/>
      <c r="N18" s="182" t="str">
        <f>"pKₛ"</f>
        <v>pKₛ</v>
      </c>
      <c r="O18" s="10" t="str">
        <f>AL11</f>
        <v/>
      </c>
      <c r="P18" s="10" t="str">
        <f>AN11</f>
        <v/>
      </c>
      <c r="Q18" s="333"/>
      <c r="R18" s="40" t="s">
        <v>5652</v>
      </c>
      <c r="S18" s="10" t="str">
        <f>AL18</f>
        <v/>
      </c>
      <c r="T18" s="178" t="str">
        <f>AN18</f>
        <v/>
      </c>
      <c r="U18" s="9"/>
      <c r="Z18" s="231" t="s">
        <v>5670</v>
      </c>
      <c r="AA18" s="128" t="str">
        <f>IF(ISNUMBER(AA17),-LOG10(AA17),"")</f>
        <v/>
      </c>
      <c r="AB18" t="str">
        <f>IFERROR(IF(
    OR(ABS(AA18)&lt;0.001,ABS(AA18)&gt;MIN(10^($AA$3)-1,9999)),
    TEXT(AA18, "0," &amp; REPT("0", $AA$3-1) &amp; "E+00"),
    IF(AA18="","",
IF(INT(LOG10(ABS(AA18)))+1=$AA$3,TEXT(AA18,"0"),
TEXT(IF(AA18&lt;0,"-","")&amp;LEFT(TEXT(ABS(AA18),"0,"&amp;REPT("0",$AA$3-1)&amp;"E+00"),$AA$3+1)*10^FLOOR(LOG10(TEXT(ABS(AA18),"0,"&amp;REPT("0",$AA$3-1)&amp;"E+00")),1),(""&amp;(IF(OR(AND(FLOOR(LOG10(TEXT(ABS(AA18),"0,"&amp;REPT("0",$AA$3-1)&amp;"E+00")),1)+1=$AA$3,RIGHT(LEFT(TEXT(ABS(AA18),"0,"&amp;REPT("0",$AA$3-1)&amp;"E+00"),$AA$3+1)*10^FLOOR(LOG10(TEXT(ABS(AA18),"0,"&amp;REPT("0",$AA$3-1)&amp;"E+00")),1),1)="0"),LOG10(TEXT(ABS(AA18),"0,"&amp;REPT("0",$AA$3-1)&amp;"E+00"))&lt;=$AA$3-1),"0,","#")&amp;REPT("0",IF($AA$3-1-(FLOOR(LOG10(TEXT(ABS(AA18),"0,"&amp;REPT("0",$AA$3-1)&amp;"E+00")),1))&gt;0,$AA$3-1-(FLOOR(LOG10(TEXT(ABS(AA18),"0,"&amp;REPT("0",$AA$3-1)&amp;"E+00")),1)),0))))))
)),"")</f>
        <v/>
      </c>
      <c r="AC18" s="9" t="str">
        <f t="shared" si="0"/>
        <v/>
      </c>
      <c r="AG18" t="s">
        <v>5709</v>
      </c>
      <c r="AH18" t="s">
        <v>5751</v>
      </c>
      <c r="AK18" s="231" t="s">
        <v>5670</v>
      </c>
      <c r="AL18" s="128" t="str">
        <f>IF(ISNUMBER(AL17),-LOG10(AL17),"")</f>
        <v/>
      </c>
      <c r="AM18" t="str">
        <f>IFERROR(IF(
    OR(ABS(AL18)&lt;0.001,ABS(AL18)&gt;MIN(10^($AL$3)-1,9999)),
    TEXT(AL18, "0," &amp; REPT("0", $AL$3-1) &amp; "E+00"),
    IF(AL18="","",
IF(INT(LOG10(ABS(AL18)))+1=$AL$3,TEXT(AL18,"0"),
TEXT(IF(AL18&lt;0,"-","")&amp;LEFT(TEXT(ABS(AL18),"0,"&amp;REPT("0",$AL$3-1)&amp;"E+00"),$AL$3+1)*10^FLOOR(LOG10(TEXT(ABS(AL18),"0,"&amp;REPT("0",$AL$3-1)&amp;"E+00")),1),(""&amp;(IF(OR(AND(FLOOR(LOG10(TEXT(ABS(AL18),"0,"&amp;REPT("0",$AL$3-1)&amp;"E+00")),1)+1=$AL$3,RIGHT(LEFT(TEXT(ABS(AL18),"0,"&amp;REPT("0",$AL$3-1)&amp;"E+00"),$AL$3+1)*10^FLOOR(LOG10(TEXT(ABS(AL18),"0,"&amp;REPT("0",$AL$3-1)&amp;"E+00")),1),1)="0"),LOG10(TEXT(ABS(AL18),"0,"&amp;REPT("0",$AL$3-1)&amp;"E+00"))&lt;=$AL$3-1),"0,","#")&amp;REPT("0",IF($AL$3-1-(FLOOR(LOG10(TEXT(ABS(AL18),"0,"&amp;REPT("0",$AL$3-1)&amp;"E+00")),1))&gt;0,$AL$3-1-(FLOOR(LOG10(TEXT(ABS(AL18),"0,"&amp;REPT("0",$AL$3-1)&amp;"E+00")),1)),0))))))
)),"")</f>
        <v/>
      </c>
      <c r="AN18" s="9" t="str">
        <f t="shared" si="1"/>
        <v/>
      </c>
    </row>
    <row r="19" spans="2:40">
      <c r="B19" s="7"/>
      <c r="C19" s="182" t="s">
        <v>5654</v>
      </c>
      <c r="D19" t="str">
        <f>AA27</f>
        <v/>
      </c>
      <c r="E19" s="18" t="str">
        <f>AC27</f>
        <v/>
      </c>
      <c r="F19" s="328"/>
      <c r="G19" s="40" t="s">
        <v>5655</v>
      </c>
      <c r="H19" t="str">
        <f>AA36</f>
        <v/>
      </c>
      <c r="I19" s="178" t="str">
        <f>AC36</f>
        <v/>
      </c>
      <c r="J19" s="9"/>
      <c r="M19" s="7"/>
      <c r="N19" s="182" t="s">
        <v>5654</v>
      </c>
      <c r="O19" s="10" t="str">
        <f>AL25</f>
        <v/>
      </c>
      <c r="P19" s="10" t="str">
        <f>AN25</f>
        <v/>
      </c>
      <c r="Q19" s="333"/>
      <c r="R19" s="40" t="s">
        <v>5655</v>
      </c>
      <c r="S19" s="10" t="str">
        <f>AL33</f>
        <v/>
      </c>
      <c r="T19" s="178" t="str">
        <f>AN33</f>
        <v/>
      </c>
      <c r="U19" s="9"/>
      <c r="Z19" s="230"/>
      <c r="AC19" s="9" t="str">
        <f t="shared" si="0"/>
        <v/>
      </c>
      <c r="AG19" t="s">
        <v>5710</v>
      </c>
      <c r="AH19" t="s">
        <v>5752</v>
      </c>
      <c r="AK19" s="230"/>
      <c r="AN19" s="9" t="str">
        <f t="shared" si="1"/>
        <v/>
      </c>
    </row>
    <row r="20" spans="2:40" ht="15.75" thickBot="1">
      <c r="B20" s="7"/>
      <c r="C20" s="183" t="s">
        <v>5657</v>
      </c>
      <c r="D20" s="68" t="str">
        <f>AA26</f>
        <v/>
      </c>
      <c r="E20" s="180" t="str">
        <f>AC26&amp;IF(D20&lt;&gt;""," M","")</f>
        <v/>
      </c>
      <c r="F20" s="330"/>
      <c r="G20" s="184" t="s">
        <v>5658</v>
      </c>
      <c r="H20" s="68" t="str">
        <f>AA35</f>
        <v/>
      </c>
      <c r="I20" s="105" t="str">
        <f>AC35&amp;IF(H20&lt;&gt;""," M","")</f>
        <v/>
      </c>
      <c r="J20" s="9"/>
      <c r="M20" s="7"/>
      <c r="N20" s="182" t="s">
        <v>5657</v>
      </c>
      <c r="O20" s="240" t="str">
        <f>AL24</f>
        <v/>
      </c>
      <c r="P20" s="10" t="str">
        <f>AN24&amp;IF(O20&lt;&gt;""," M","")</f>
        <v/>
      </c>
      <c r="Q20" s="333"/>
      <c r="R20" s="40" t="s">
        <v>5658</v>
      </c>
      <c r="S20" s="10" t="str">
        <f>AL32</f>
        <v/>
      </c>
      <c r="T20" s="178" t="str">
        <f>AN32&amp;IF(S20&lt;&gt;""," M","")</f>
        <v/>
      </c>
      <c r="U20" s="9"/>
      <c r="Z20" s="139" t="s">
        <v>5671</v>
      </c>
      <c r="AA20" s="121" t="b">
        <f>IF(ISNUMBER(D9),D9)</f>
        <v>0</v>
      </c>
      <c r="AC20" s="9" t="str">
        <f t="shared" si="0"/>
        <v/>
      </c>
      <c r="AG20" t="s">
        <v>5711</v>
      </c>
      <c r="AH20" t="s">
        <v>5753</v>
      </c>
      <c r="AK20" s="139" t="s">
        <v>5671</v>
      </c>
      <c r="AL20" s="121" t="b">
        <f>IF(ISNUMBER(O9),O9)</f>
        <v>0</v>
      </c>
      <c r="AN20" s="9" t="str">
        <f t="shared" si="1"/>
        <v/>
      </c>
    </row>
    <row r="21" spans="2:40" ht="15.75" thickBot="1">
      <c r="B21" s="71"/>
      <c r="C21" s="68"/>
      <c r="D21" s="68"/>
      <c r="E21" s="68"/>
      <c r="F21" s="68"/>
      <c r="G21" s="68"/>
      <c r="H21" s="186"/>
      <c r="I21" s="68"/>
      <c r="J21" s="74"/>
      <c r="M21" s="34"/>
      <c r="N21" s="183" t="s">
        <v>5840</v>
      </c>
      <c r="O21" s="72" t="str">
        <f>AL50</f>
        <v/>
      </c>
      <c r="P21" s="72" t="str">
        <f>AN50&amp;IF(O21="",""," M")</f>
        <v/>
      </c>
      <c r="Q21" s="334"/>
      <c r="R21" s="184" t="s">
        <v>5841</v>
      </c>
      <c r="S21" s="72" t="str">
        <f>AL55</f>
        <v/>
      </c>
      <c r="T21" s="105" t="str">
        <f>AN55&amp;IF(S21="",""," M")</f>
        <v/>
      </c>
      <c r="U21" s="34"/>
      <c r="Z21" s="7" t="s">
        <v>5672</v>
      </c>
      <c r="AA21" s="125" t="b">
        <f>IF(ISNUMBER(D8),10^-(D8))</f>
        <v>0</v>
      </c>
      <c r="AC21" s="9" t="str">
        <f t="shared" si="0"/>
        <v/>
      </c>
      <c r="AG21" t="s">
        <v>5712</v>
      </c>
      <c r="AH21" t="s">
        <v>5754</v>
      </c>
      <c r="AK21" s="7" t="s">
        <v>5672</v>
      </c>
      <c r="AL21" s="125" t="b">
        <f>IF(ISNUMBER(O8),10^-(O8))</f>
        <v>0</v>
      </c>
      <c r="AN21" s="9" t="str">
        <f t="shared" si="1"/>
        <v/>
      </c>
    </row>
    <row r="22" spans="2:40" ht="15.75" thickBot="1">
      <c r="M22" s="71"/>
      <c r="N22" s="68"/>
      <c r="O22" s="68"/>
      <c r="P22" s="68"/>
      <c r="Q22" s="68"/>
      <c r="R22" s="68"/>
      <c r="S22" s="68"/>
      <c r="T22" s="68"/>
      <c r="U22" s="74"/>
      <c r="Z22" s="7" t="s">
        <v>5673</v>
      </c>
      <c r="AA22" s="125" t="b">
        <f>IF(AND(ISNUMBER(AA10),ISNUMBER(D5)),(-AA10+SQRT(AA10^2+4*AA10*D5))/2)</f>
        <v>0</v>
      </c>
      <c r="AC22" s="9" t="str">
        <f t="shared" si="0"/>
        <v/>
      </c>
      <c r="AG22" t="s">
        <v>5713</v>
      </c>
      <c r="AK22" s="7" t="s">
        <v>5828</v>
      </c>
      <c r="AL22" s="125" t="b">
        <f>IF(AL5,(AL10/O5*S5))</f>
        <v>0</v>
      </c>
      <c r="AN22" s="9" t="str">
        <f t="shared" si="1"/>
        <v/>
      </c>
    </row>
    <row r="23" spans="2:40">
      <c r="Z23" s="7" t="s">
        <v>5674</v>
      </c>
      <c r="AA23" s="125" t="b">
        <f>IF(ISNUMBER(H8),10^(14-H8))</f>
        <v>0</v>
      </c>
      <c r="AC23" s="9" t="str">
        <f t="shared" si="0"/>
        <v/>
      </c>
      <c r="AG23" t="s">
        <v>5714</v>
      </c>
      <c r="AH23" t="s">
        <v>5755</v>
      </c>
      <c r="AK23" s="7" t="s">
        <v>5825</v>
      </c>
      <c r="AL23" s="125" t="b">
        <f>IF(AL4,AL10*O10/S10)</f>
        <v>0</v>
      </c>
      <c r="AN23" s="9" t="str">
        <f t="shared" si="1"/>
        <v/>
      </c>
    </row>
    <row r="24" spans="2:40">
      <c r="Z24" s="7" t="s">
        <v>5675</v>
      </c>
      <c r="AA24" s="125" t="b">
        <f>IF(ISNUMBER(H9),10^-14/H9)</f>
        <v>0</v>
      </c>
      <c r="AC24" s="9" t="str">
        <f t="shared" si="0"/>
        <v/>
      </c>
      <c r="AG24" t="s">
        <v>5715</v>
      </c>
      <c r="AH24" t="s">
        <v>5756</v>
      </c>
      <c r="AK24" s="230" t="s">
        <v>5677</v>
      </c>
      <c r="AL24" s="181" t="str" cm="1">
        <f t="array" ref="AL24">IFERROR(_xlfn.IFS(AL20,AL20,AL21,AL21,AL22,AL22,AL23,AL23),"")</f>
        <v/>
      </c>
      <c r="AM24" t="str">
        <f>IFERROR(IF(
    OR(ABS(AL24)&lt;0.001,ABS(AL24)&gt;MIN(10^($AL$3)-1,9999)),
    TEXT(AL24, "0," &amp; REPT("0", $AL$3-1) &amp; "E+00"),
    IF(AL24="","",
IF(INT(LOG10(ABS(AL24)))+1=$AL$3,TEXT(AL24,"0"),
TEXT(IF(AL24&lt;0,"-","")&amp;LEFT(TEXT(ABS(AL24),"0,"&amp;REPT("0",$AL$3-1)&amp;"E+00"),$AL$3+1)*10^FLOOR(LOG10(TEXT(ABS(AL24),"0,"&amp;REPT("0",$AL$3-1)&amp;"E+00")),1),(""&amp;(IF(OR(AND(FLOOR(LOG10(TEXT(ABS(AL24),"0,"&amp;REPT("0",$AL$3-1)&amp;"E+00")),1)+1=$AL$3,RIGHT(LEFT(TEXT(ABS(AL24),"0,"&amp;REPT("0",$AL$3-1)&amp;"E+00"),$AL$3+1)*10^FLOOR(LOG10(TEXT(ABS(AL24),"0,"&amp;REPT("0",$AL$3-1)&amp;"E+00")),1),1)="0"),LOG10(TEXT(ABS(AL24),"0,"&amp;REPT("0",$AL$3-1)&amp;"E+00"))&lt;=$AL$3-1),"0,","#")&amp;REPT("0",IF($AL$3-1-(FLOOR(LOG10(TEXT(ABS(AL24),"0,"&amp;REPT("0",$AL$3-1)&amp;"E+00")),1))&gt;0,$AL$3-1-(FLOOR(LOG10(TEXT(ABS(AL24),"0,"&amp;REPT("0",$AL$3-1)&amp;"E+00")),1)),0))))))
)),"")</f>
        <v/>
      </c>
      <c r="AN24" s="9" t="str">
        <f t="shared" si="1"/>
        <v/>
      </c>
    </row>
    <row r="25" spans="2:40">
      <c r="Z25" s="7" t="s">
        <v>5676</v>
      </c>
      <c r="AA25" s="125" t="b">
        <f>IF(AND(ISNUMBER(H5),ISNUMBER(H6)),10^-14/AA35)</f>
        <v>0</v>
      </c>
      <c r="AC25" s="9" t="str">
        <f t="shared" si="0"/>
        <v/>
      </c>
      <c r="AG25" t="s">
        <v>5716</v>
      </c>
      <c r="AH25" t="s">
        <v>5757</v>
      </c>
      <c r="AK25" s="231" t="s">
        <v>5678</v>
      </c>
      <c r="AL25" s="128" t="str">
        <f>IF(ISNUMBER(AL24),-LOG10(AL24),"")</f>
        <v/>
      </c>
      <c r="AM25" t="str">
        <f>IFERROR(IF(
    OR(ABS(AL25)&lt;0.001,ABS(AL25)&gt;MIN(10^($AL$3)-1,9999)),
    TEXT(AL25, "0," &amp; REPT("0", $AL$3-1) &amp; "E+00"),
    IF(AL25="","",
IF(INT(LOG10(ABS(AL25)))+1=$AL$3,TEXT(AL25,"0"),
TEXT(IF(AL25&lt;0,"-","")&amp;LEFT(TEXT(ABS(AL25),"0,"&amp;REPT("0",$AL$3-1)&amp;"E+00"),$AL$3+1)*10^FLOOR(LOG10(TEXT(ABS(AL25),"0,"&amp;REPT("0",$AL$3-1)&amp;"E+00")),1),(""&amp;(IF(OR(AND(FLOOR(LOG10(TEXT(ABS(AL25),"0,"&amp;REPT("0",$AL$3-1)&amp;"E+00")),1)+1=$AL$3,RIGHT(LEFT(TEXT(ABS(AL25),"0,"&amp;REPT("0",$AL$3-1)&amp;"E+00"),$AL$3+1)*10^FLOOR(LOG10(TEXT(ABS(AL25),"0,"&amp;REPT("0",$AL$3-1)&amp;"E+00")),1),1)="0"),LOG10(TEXT(ABS(AL25),"0,"&amp;REPT("0",$AL$3-1)&amp;"E+00"))&lt;=$AL$3-1),"0,","#")&amp;REPT("0",IF($AL$3-1-(FLOOR(LOG10(TEXT(ABS(AL25),"0,"&amp;REPT("0",$AL$3-1)&amp;"E+00")),1))&gt;0,$AL$3-1-(FLOOR(LOG10(TEXT(ABS(AL25),"0,"&amp;REPT("0",$AL$3-1)&amp;"E+00")),1)),0))))))
)),"")</f>
        <v/>
      </c>
      <c r="AN25" s="9" t="str">
        <f t="shared" si="1"/>
        <v/>
      </c>
    </row>
    <row r="26" spans="2:40">
      <c r="Z26" s="230" t="s">
        <v>5677</v>
      </c>
      <c r="AA26" s="181" t="str" cm="1">
        <f t="array" ref="AA26">IFERROR(_xlfn.IFS(AA20,AA20,AA21,AA21,AA22,AA22,AA23,AA23,AA24,AA24),"")</f>
        <v/>
      </c>
      <c r="AB26" t="str">
        <f>IFERROR(IF(
    OR(ABS(AA26)&lt;0.001,ABS(AA26)&gt;MIN(10^($AA$3)-1,9999)),
    TEXT(AA26, "0," &amp; REPT("0", $AA$3-1) &amp; "E+00"),
    IF(AA26="","",
IF(INT(LOG10(ABS(AA26)))+1=$AA$3,TEXT(AA26,"0"),
TEXT(IF(AA26&lt;0,"-","")&amp;LEFT(TEXT(ABS(AA26),"0,"&amp;REPT("0",$AA$3-1)&amp;"E+00"),$AA$3+1)*10^FLOOR(LOG10(TEXT(ABS(AA26),"0,"&amp;REPT("0",$AA$3-1)&amp;"E+00")),1),(""&amp;(IF(OR(AND(FLOOR(LOG10(TEXT(ABS(AA26),"0,"&amp;REPT("0",$AA$3-1)&amp;"E+00")),1)+1=$AA$3,RIGHT(LEFT(TEXT(ABS(AA26),"0,"&amp;REPT("0",$AA$3-1)&amp;"E+00"),$AA$3+1)*10^FLOOR(LOG10(TEXT(ABS(AA26),"0,"&amp;REPT("0",$AA$3-1)&amp;"E+00")),1),1)="0"),LOG10(TEXT(ABS(AA26),"0,"&amp;REPT("0",$AA$3-1)&amp;"E+00"))&lt;=$AA$3-1),"0,","#")&amp;REPT("0",IF($AA$3-1-(FLOOR(LOG10(TEXT(ABS(AA26),"0,"&amp;REPT("0",$AA$3-1)&amp;"E+00")),1))&gt;0,$AA$3-1-(FLOOR(LOG10(TEXT(ABS(AA26),"0,"&amp;REPT("0",$AA$3-1)&amp;"E+00")),1)),0))))))
)),"")</f>
        <v/>
      </c>
      <c r="AC26" s="9" t="str">
        <f t="shared" si="0"/>
        <v/>
      </c>
      <c r="AG26" t="s">
        <v>5717</v>
      </c>
      <c r="AH26" t="s">
        <v>5758</v>
      </c>
    </row>
    <row r="27" spans="2:40">
      <c r="Z27" s="231" t="s">
        <v>5678</v>
      </c>
      <c r="AA27" s="128" t="str">
        <f>IF(ISNUMBER(AA26),-LOG10(AA26),"")</f>
        <v/>
      </c>
      <c r="AB27" t="str">
        <f>IFERROR(IF(
    OR(ABS(AA27)&lt;0.001,ABS(AA27)&gt;MIN(10^($AA$3)-1,9999)),
    TEXT(AA27, "0," &amp; REPT("0", $AA$3-1) &amp; "E+00"),
    IF(AA27="","",
IF(INT(LOG10(ABS(AA27)))+1=$AA$3,TEXT(AA27,"0"),
TEXT(IF(AA27&lt;0,"-","")&amp;LEFT(TEXT(ABS(AA27),"0,"&amp;REPT("0",$AA$3-1)&amp;"E+00"),$AA$3+1)*10^FLOOR(LOG10(TEXT(ABS(AA27),"0,"&amp;REPT("0",$AA$3-1)&amp;"E+00")),1),(""&amp;(IF(OR(AND(FLOOR(LOG10(TEXT(ABS(AA27),"0,"&amp;REPT("0",$AA$3-1)&amp;"E+00")),1)+1=$AA$3,RIGHT(LEFT(TEXT(ABS(AA27),"0,"&amp;REPT("0",$AA$3-1)&amp;"E+00"),$AA$3+1)*10^FLOOR(LOG10(TEXT(ABS(AA27),"0,"&amp;REPT("0",$AA$3-1)&amp;"E+00")),1),1)="0"),LOG10(TEXT(ABS(AA27),"0,"&amp;REPT("0",$AA$3-1)&amp;"E+00"))&lt;=$AA$3-1),"0,","#")&amp;REPT("0",IF($AA$3-1-(FLOOR(LOG10(TEXT(ABS(AA27),"0,"&amp;REPT("0",$AA$3-1)&amp;"E+00")),1))&gt;0,$AA$3-1-(FLOOR(LOG10(TEXT(ABS(AA27),"0,"&amp;REPT("0",$AA$3-1)&amp;"E+00")),1)),0))))))
)),"")</f>
        <v/>
      </c>
      <c r="AC27" s="9" t="str">
        <f t="shared" si="0"/>
        <v/>
      </c>
      <c r="AG27" t="s">
        <v>5718</v>
      </c>
      <c r="AH27" t="s">
        <v>5759</v>
      </c>
      <c r="AK27" s="7" t="s">
        <v>5679</v>
      </c>
      <c r="AL27" t="b">
        <f>IF(ISNUMBER(S9),S9)</f>
        <v>0</v>
      </c>
    </row>
    <row r="28" spans="2:40">
      <c r="Z28" s="7"/>
      <c r="AB28" s="142"/>
      <c r="AC28" s="9" t="str">
        <f t="shared" si="0"/>
        <v/>
      </c>
      <c r="AG28" t="s">
        <v>5719</v>
      </c>
      <c r="AH28" t="s">
        <v>5760</v>
      </c>
      <c r="AK28" s="7" t="s">
        <v>5680</v>
      </c>
      <c r="AL28" t="b">
        <f>IF(ISNUMBER(S8),10^-(S8))</f>
        <v>0</v>
      </c>
      <c r="AM28" s="142"/>
      <c r="AN28" s="9" t="str">
        <f t="shared" ref="AN28:AN34" si="2">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28,$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29" spans="2:40">
      <c r="Z29" s="7" t="s">
        <v>5679</v>
      </c>
      <c r="AA29" t="b">
        <f>IF(ISNUMBER(H9),H9)</f>
        <v>0</v>
      </c>
      <c r="AC29" s="9" t="str">
        <f t="shared" si="0"/>
        <v/>
      </c>
      <c r="AG29" t="s">
        <v>5720</v>
      </c>
      <c r="AH29" t="s">
        <v>5761</v>
      </c>
      <c r="AK29" s="7" t="s">
        <v>5681</v>
      </c>
      <c r="AL29" t="b">
        <f>IF(ISNUMBER(AL24),10^-(14)/AL24)</f>
        <v>0</v>
      </c>
      <c r="AN29" s="9" t="str">
        <f t="shared" si="2"/>
        <v/>
      </c>
    </row>
    <row r="30" spans="2:40">
      <c r="Z30" s="7" t="s">
        <v>5680</v>
      </c>
      <c r="AA30" t="b">
        <f>IF(ISNUMBER(H8),10^-(H8))</f>
        <v>0</v>
      </c>
      <c r="AC30" s="9" t="str">
        <f t="shared" si="0"/>
        <v/>
      </c>
      <c r="AG30" t="s">
        <v>5721</v>
      </c>
      <c r="AH30" t="s">
        <v>5762</v>
      </c>
      <c r="AK30" s="7" t="s">
        <v>5682</v>
      </c>
      <c r="AL30" s="232" t="b">
        <f>IF(ISNUMBER(O8),10^(-14+O8))</f>
        <v>0</v>
      </c>
      <c r="AN30" s="9" t="str">
        <f t="shared" si="2"/>
        <v/>
      </c>
    </row>
    <row r="31" spans="2:40">
      <c r="Z31" s="7" t="s">
        <v>5681</v>
      </c>
      <c r="AA31" t="b">
        <f>IF(AND(ISNUMBER(AA17),ISNUMBER(H5)),(-AA17+SQRT(AA17^2+4*AA17*H5))/2)</f>
        <v>0</v>
      </c>
      <c r="AC31" s="9" t="str">
        <f t="shared" si="0"/>
        <v/>
      </c>
      <c r="AG31" t="s">
        <v>5722</v>
      </c>
      <c r="AH31" t="s">
        <v>5763</v>
      </c>
      <c r="AK31" s="7" t="s">
        <v>5683</v>
      </c>
      <c r="AL31" t="b">
        <f>IF(ISNUMBER(O9),10^-14/O9)</f>
        <v>0</v>
      </c>
      <c r="AN31" s="9" t="str">
        <f t="shared" si="2"/>
        <v/>
      </c>
    </row>
    <row r="32" spans="2:40">
      <c r="Z32" s="7" t="s">
        <v>5682</v>
      </c>
      <c r="AA32" s="232" t="b">
        <f>IF(ISNUMBER(D8),10^(-14+D8))</f>
        <v>0</v>
      </c>
      <c r="AC32" s="9" t="str">
        <f t="shared" si="0"/>
        <v/>
      </c>
      <c r="AG32" t="s">
        <v>5723</v>
      </c>
      <c r="AH32" t="s">
        <v>5764</v>
      </c>
      <c r="AK32" s="230" t="s">
        <v>5684</v>
      </c>
      <c r="AL32" s="232" t="str" cm="1">
        <f t="array" ref="AL32">IFERROR(_xlfn.IFS(AL27,AL27,AL28,AL28,AL29,AL29,AL30,AL30,AL31,AL31,AL34,AL34),"")</f>
        <v/>
      </c>
      <c r="AM32" t="str">
        <f>IFERROR(IF(
    OR(ABS(AL32)&lt;0.001,ABS(AL32)&gt;MIN(10^($AL$3)-1,9999)),
    TEXT(AL32, "0," &amp; REPT("0", $AL$3-1) &amp; "E+00"),
    IF(AL32="","",
IF(INT(LOG10(ABS(AL32)))+1=$AL$3,TEXT(AL32,"0"),
TEXT(IF(AL32&lt;0,"-","")&amp;LEFT(TEXT(ABS(AL32),"0,"&amp;REPT("0",$AL$3-1)&amp;"E+00"),$AL$3+1)*10^FLOOR(LOG10(TEXT(ABS(AL32),"0,"&amp;REPT("0",$AL$3-1)&amp;"E+00")),1),(""&amp;(IF(OR(AND(FLOOR(LOG10(TEXT(ABS(AL32),"0,"&amp;REPT("0",$AL$3-1)&amp;"E+00")),1)+1=$AL$3,RIGHT(LEFT(TEXT(ABS(AL32),"0,"&amp;REPT("0",$AL$3-1)&amp;"E+00"),$AL$3+1)*10^FLOOR(LOG10(TEXT(ABS(AL32),"0,"&amp;REPT("0",$AL$3-1)&amp;"E+00")),1),1)="0"),LOG10(TEXT(ABS(AL32),"0,"&amp;REPT("0",$AL$3-1)&amp;"E+00"))&lt;=$AL$3-1),"0,","#")&amp;REPT("0",IF($AL$3-1-(FLOOR(LOG10(TEXT(ABS(AL32),"0,"&amp;REPT("0",$AL$3-1)&amp;"E+00")),1))&gt;0,$AL$3-1-(FLOOR(LOG10(TEXT(ABS(AL32),"0,"&amp;REPT("0",$AL$3-1)&amp;"E+00")),1)),0))))))
)),"")</f>
        <v/>
      </c>
      <c r="AN32" s="9" t="str">
        <f t="shared" si="2"/>
        <v/>
      </c>
    </row>
    <row r="33" spans="26:40">
      <c r="Z33" s="7" t="s">
        <v>5683</v>
      </c>
      <c r="AA33" t="b">
        <f>IF(ISNUMBER(D9),10^-14/D9)</f>
        <v>0</v>
      </c>
      <c r="AC33" s="9" t="str">
        <f t="shared" si="0"/>
        <v/>
      </c>
      <c r="AG33" t="s">
        <v>5724</v>
      </c>
      <c r="AH33" t="s">
        <v>5765</v>
      </c>
      <c r="AK33" s="230" t="s">
        <v>5685</v>
      </c>
      <c r="AL33" s="232" t="str">
        <f>IF(ISNUMBER(AL32),-LOG10(AL32),"")</f>
        <v/>
      </c>
      <c r="AM33" t="str">
        <f>IFERROR(IF(
    OR(ABS(AL33)&lt;0.001,ABS(AL33)&gt;MIN(10^($AL$3)-1,9999)),
    TEXT(AL33, "0," &amp; REPT("0", $AL$3-1) &amp; "E+00"),
    IF(AL33="","",
IF(INT(LOG10(ABS(AL33)))+1=$AL$3,TEXT(AL33,"0"),
TEXT(IF(AL33&lt;0,"-","")&amp;LEFT(TEXT(ABS(AL33),"0,"&amp;REPT("0",$AL$3-1)&amp;"E+00"),$AL$3+1)*10^FLOOR(LOG10(TEXT(ABS(AL33),"0,"&amp;REPT("0",$AL$3-1)&amp;"E+00")),1),(""&amp;(IF(OR(AND(FLOOR(LOG10(TEXT(ABS(AL33),"0,"&amp;REPT("0",$AL$3-1)&amp;"E+00")),1)+1=$AL$3,RIGHT(LEFT(TEXT(ABS(AL33),"0,"&amp;REPT("0",$AL$3-1)&amp;"E+00"),$AL$3+1)*10^FLOOR(LOG10(TEXT(ABS(AL33),"0,"&amp;REPT("0",$AL$3-1)&amp;"E+00")),1),1)="0"),LOG10(TEXT(ABS(AL33),"0,"&amp;REPT("0",$AL$3-1)&amp;"E+00"))&lt;=$AL$3-1),"0,","#")&amp;REPT("0",IF($AL$3-1-(FLOOR(LOG10(TEXT(ABS(AL33),"0,"&amp;REPT("0",$AL$3-1)&amp;"E+00")),1))&gt;0,$AL$3-1-(FLOOR(LOG10(TEXT(ABS(AL33),"0,"&amp;REPT("0",$AL$3-1)&amp;"E+00")),1)),0))))))
)),"")</f>
        <v/>
      </c>
      <c r="AN33" s="9" t="str">
        <f t="shared" si="2"/>
        <v/>
      </c>
    </row>
    <row r="34" spans="26:40">
      <c r="Z34" s="7" t="s">
        <v>5681</v>
      </c>
      <c r="AA34" t="b">
        <f>IF(AND(ISNUMBER(D5),ISNUMBER(AA10)),10^-14/AA26)</f>
        <v>0</v>
      </c>
      <c r="AC34" s="9" t="str">
        <f t="shared" si="0"/>
        <v/>
      </c>
      <c r="AG34" t="s">
        <v>5725</v>
      </c>
      <c r="AH34" t="s">
        <v>5766</v>
      </c>
      <c r="AK34" s="7"/>
      <c r="AN34" s="9" t="str">
        <f t="shared" si="2"/>
        <v/>
      </c>
    </row>
    <row r="35" spans="26:40">
      <c r="Z35" s="230" t="s">
        <v>5684</v>
      </c>
      <c r="AA35" s="232" t="str" cm="1">
        <f t="array" ref="AA35">IFERROR(_xlfn.IFS(AA29,AA29,AA30,AA30,AA31,AA31,AA32,AA32,AA33,AA33,AA34,AA34),"")</f>
        <v/>
      </c>
      <c r="AB35" t="str">
        <f>IFERROR(IF(
    OR(ABS(AA35)&lt;0.001,ABS(AA35)&gt;MIN(10^($AA$3)-1,9999)),
    TEXT(AA35, "0," &amp; REPT("0", $AA$3-1) &amp; "E+00"),
    IF(AA35="","",
IF(INT(LOG10(ABS(AA35)))+1=$AA$3,TEXT(AA35,"0"),
TEXT(IF(AA35&lt;0,"-","")&amp;LEFT(TEXT(ABS(AA35),"0,"&amp;REPT("0",$AA$3-1)&amp;"E+00"),$AA$3+1)*10^FLOOR(LOG10(TEXT(ABS(AA35),"0,"&amp;REPT("0",$AA$3-1)&amp;"E+00")),1),(""&amp;(IF(OR(AND(FLOOR(LOG10(TEXT(ABS(AA35),"0,"&amp;REPT("0",$AA$3-1)&amp;"E+00")),1)+1=$AA$3,RIGHT(LEFT(TEXT(ABS(AA35),"0,"&amp;REPT("0",$AA$3-1)&amp;"E+00"),$AA$3+1)*10^FLOOR(LOG10(TEXT(ABS(AA35),"0,"&amp;REPT("0",$AA$3-1)&amp;"E+00")),1),1)="0"),LOG10(TEXT(ABS(AA35),"0,"&amp;REPT("0",$AA$3-1)&amp;"E+00"))&lt;=$AA$3-1),"0,","#")&amp;REPT("0",IF($AA$3-1-(FLOOR(LOG10(TEXT(ABS(AA35),"0,"&amp;REPT("0",$AA$3-1)&amp;"E+00")),1))&gt;0,$AA$3-1-(FLOOR(LOG10(TEXT(ABS(AA35),"0,"&amp;REPT("0",$AA$3-1)&amp;"E+00")),1)),0))))))
)),"")</f>
        <v/>
      </c>
      <c r="AC35" s="9" t="str">
        <f t="shared" si="0"/>
        <v/>
      </c>
      <c r="AG35" t="s">
        <v>5726</v>
      </c>
      <c r="AH35" t="s">
        <v>5767</v>
      </c>
    </row>
    <row r="36" spans="26:40">
      <c r="Z36" s="230" t="s">
        <v>5685</v>
      </c>
      <c r="AA36" s="232" t="str">
        <f>IF(ISNUMBER(AA35),-LOG10(AA35),"")</f>
        <v/>
      </c>
      <c r="AB36" t="str">
        <f>IFERROR(IF(
    OR(ABS(AA36)&lt;0.001,ABS(AA36)&gt;MIN(10^($AA$3)-1,9999)),
    TEXT(AA36, "0," &amp; REPT("0", $AA$3-1) &amp; "E+00"),
    IF(AA36="","",
IF(INT(LOG10(ABS(AA36)))+1=$AA$3,TEXT(AA36,"0"),
TEXT(IF(AA36&lt;0,"-","")&amp;LEFT(TEXT(ABS(AA36),"0,"&amp;REPT("0",$AA$3-1)&amp;"E+00"),$AA$3+1)*10^FLOOR(LOG10(TEXT(ABS(AA36),"0,"&amp;REPT("0",$AA$3-1)&amp;"E+00")),1),(""&amp;(IF(OR(AND(FLOOR(LOG10(TEXT(ABS(AA36),"0,"&amp;REPT("0",$AA$3-1)&amp;"E+00")),1)+1=$AA$3,RIGHT(LEFT(TEXT(ABS(AA36),"0,"&amp;REPT("0",$AA$3-1)&amp;"E+00"),$AA$3+1)*10^FLOOR(LOG10(TEXT(ABS(AA36),"0,"&amp;REPT("0",$AA$3-1)&amp;"E+00")),1),1)="0"),LOG10(TEXT(ABS(AA36),"0,"&amp;REPT("0",$AA$3-1)&amp;"E+00"))&lt;=$AA$3-1),"0,","#")&amp;REPT("0",IF($AA$3-1-(FLOOR(LOG10(TEXT(ABS(AA36),"0,"&amp;REPT("0",$AA$3-1)&amp;"E+00")),1))&gt;0,$AA$3-1-(FLOOR(LOG10(TEXT(ABS(AA36),"0,"&amp;REPT("0",$AA$3-1)&amp;"E+00")),1)),0))))))
)),"")</f>
        <v/>
      </c>
      <c r="AC36" s="9" t="str">
        <f t="shared" si="0"/>
        <v/>
      </c>
      <c r="AG36" t="s">
        <v>5727</v>
      </c>
      <c r="AH36" t="s">
        <v>5768</v>
      </c>
    </row>
    <row r="37" spans="26:40">
      <c r="Z37" s="7"/>
      <c r="AC37" s="9" t="str">
        <f t="shared" si="0"/>
        <v/>
      </c>
      <c r="AG37" t="s">
        <v>5728</v>
      </c>
      <c r="AH37" t="s">
        <v>5769</v>
      </c>
      <c r="AK37" s="7" t="s">
        <v>5831</v>
      </c>
      <c r="AL37" t="b">
        <f>AND(NOT(ISNUMBER(AL38)),ISNUMBER(AL10),ISNUMBER(S5),ISNUMBER(AL24))</f>
        <v>0</v>
      </c>
      <c r="AN37" s="9" t="str">
        <f t="shared" ref="AN37:AN45" si="3">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37,$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38" spans="26:40">
      <c r="Z38" s="7" t="s">
        <v>5686</v>
      </c>
      <c r="AA38" t="b">
        <f>IF(ISNUMBER(D5),D5)</f>
        <v>0</v>
      </c>
      <c r="AC38" s="9" t="str">
        <f t="shared" si="0"/>
        <v/>
      </c>
      <c r="AG38" t="s">
        <v>5729</v>
      </c>
      <c r="AH38" t="s">
        <v>5770</v>
      </c>
      <c r="AK38" s="7" t="s">
        <v>5833</v>
      </c>
      <c r="AL38" t="b">
        <f>IF(ISNUMBER(O5),O5)</f>
        <v>0</v>
      </c>
      <c r="AN38" s="9" t="str">
        <f t="shared" si="3"/>
        <v/>
      </c>
    </row>
    <row r="39" spans="26:40">
      <c r="Z39" s="7" t="s">
        <v>5687</v>
      </c>
      <c r="AA39" s="233" t="b">
        <f>IF(AND(ISNUMBER(AA10),AA26&gt;10^-7),AA26^2/(AA10)+AA26)</f>
        <v>0</v>
      </c>
      <c r="AC39" s="9" t="str">
        <f t="shared" si="0"/>
        <v/>
      </c>
      <c r="AG39" t="s">
        <v>5730</v>
      </c>
      <c r="AH39" t="s">
        <v>5771</v>
      </c>
      <c r="AK39" s="7" t="s">
        <v>5835</v>
      </c>
      <c r="AL39" s="233" t="b">
        <f>IF(AL37,S5*AL24/AL10)</f>
        <v>0</v>
      </c>
      <c r="AN39" s="9" t="str">
        <f t="shared" si="3"/>
        <v/>
      </c>
    </row>
    <row r="40" spans="26:40">
      <c r="Z40" s="230" t="s">
        <v>5688</v>
      </c>
      <c r="AA40" t="str" cm="1">
        <f t="array" ref="AA40">IFERROR(_xlfn.IFS(AA38,AA38,AA39,AA39),"")</f>
        <v/>
      </c>
      <c r="AB40" t="str">
        <f>IFERROR(IF(
    OR(ABS(AA40)&lt;0.001,ABS(AA40)&gt;MIN(10^($AA$3)-1,9999)),
    TEXT(AA40, "0," &amp; REPT("0", $AA$3-1) &amp; "E+00"),
    IF(AA40="","",
IF(INT(LOG10(ABS(AA40)))+1=$AA$3,TEXT(AA40,"0"),
TEXT(IF(AA40&lt;0,"-","")&amp;LEFT(TEXT(ABS(AA40),"0,"&amp;REPT("0",$AA$3-1)&amp;"E+00"),$AA$3+1)*10^FLOOR(LOG10(TEXT(ABS(AA40),"0,"&amp;REPT("0",$AA$3-1)&amp;"E+00")),1),(""&amp;(IF(OR(AND(FLOOR(LOG10(TEXT(ABS(AA40),"0,"&amp;REPT("0",$AA$3-1)&amp;"E+00")),1)+1=$AA$3,RIGHT(LEFT(TEXT(ABS(AA40),"0,"&amp;REPT("0",$AA$3-1)&amp;"E+00"),$AA$3+1)*10^FLOOR(LOG10(TEXT(ABS(AA40),"0,"&amp;REPT("0",$AA$3-1)&amp;"E+00")),1),1)="0"),LOG10(TEXT(ABS(AA40),"0,"&amp;REPT("0",$AA$3-1)&amp;"E+00"))&lt;=$AA$3-1),"0,","#")&amp;REPT("0",IF($AA$3-1-(FLOOR(LOG10(TEXT(ABS(AA40),"0,"&amp;REPT("0",$AA$3-1)&amp;"E+00")),1))&gt;0,$AA$3-1-(FLOOR(LOG10(TEXT(ABS(AA40),"0,"&amp;REPT("0",$AA$3-1)&amp;"E+00")),1)),0))))))
)),"")</f>
        <v/>
      </c>
      <c r="AC40" s="9" t="str">
        <f t="shared" si="0"/>
        <v/>
      </c>
      <c r="AG40" t="s">
        <v>5731</v>
      </c>
      <c r="AH40" t="s">
        <v>5772</v>
      </c>
      <c r="AK40" s="230" t="s">
        <v>5688</v>
      </c>
      <c r="AL40" t="str" cm="1">
        <f t="array" ref="AL40">IFERROR(_xlfn.IFS(AL38,AL38,AL39,AL39),"")</f>
        <v/>
      </c>
      <c r="AM40" t="str">
        <f>IFERROR(IF(
    OR(ABS(AL40)&lt;0.001,ABS(AL40)&gt;MIN(10^($AL$3)-1,9999)),
    TEXT(AL40, "0," &amp; REPT("0", $AL$3-1) &amp; "E+00"),
    IF(AL40="","",
IF(INT(LOG10(ABS(AL40)))+1=$AL$3,TEXT(AL40,"0"),
TEXT(IF(AL40&lt;0,"-","")&amp;LEFT(TEXT(ABS(AL40),"0,"&amp;REPT("0",$AL$3-1)&amp;"E+00"),$AL$3+1)*10^FLOOR(LOG10(TEXT(ABS(AL40),"0,"&amp;REPT("0",$AL$3-1)&amp;"E+00")),1),(""&amp;(IF(OR(AND(FLOOR(LOG10(TEXT(ABS(AL40),"0,"&amp;REPT("0",$AL$3-1)&amp;"E+00")),1)+1=$AL$3,RIGHT(LEFT(TEXT(ABS(AL40),"0,"&amp;REPT("0",$AL$3-1)&amp;"E+00"),$AL$3+1)*10^FLOOR(LOG10(TEXT(ABS(AL40),"0,"&amp;REPT("0",$AL$3-1)&amp;"E+00")),1),1)="0"),LOG10(TEXT(ABS(AL40),"0,"&amp;REPT("0",$AL$3-1)&amp;"E+00"))&lt;=$AL$3-1),"0,","#")&amp;REPT("0",IF($AL$3-1-(FLOOR(LOG10(TEXT(ABS(AL40),"0,"&amp;REPT("0",$AL$3-1)&amp;"E+00")),1))&gt;0,$AL$3-1-(FLOOR(LOG10(TEXT(ABS(AL40),"0,"&amp;REPT("0",$AL$3-1)&amp;"E+00")),1)),0))))))
)),"")</f>
        <v/>
      </c>
      <c r="AN40" s="9" t="str">
        <f t="shared" si="3"/>
        <v/>
      </c>
    </row>
    <row r="41" spans="26:40">
      <c r="Z41" s="7"/>
      <c r="AC41" s="9" t="str">
        <f t="shared" si="0"/>
        <v/>
      </c>
      <c r="AG41" t="s">
        <v>5732</v>
      </c>
      <c r="AH41" t="s">
        <v>5773</v>
      </c>
      <c r="AK41" s="7"/>
      <c r="AN41" s="9" t="str">
        <f t="shared" si="3"/>
        <v/>
      </c>
    </row>
    <row r="42" spans="26:40">
      <c r="Z42" s="7"/>
      <c r="AC42" s="9" t="str">
        <f t="shared" si="0"/>
        <v/>
      </c>
      <c r="AG42" t="s">
        <v>5733</v>
      </c>
      <c r="AH42" t="s">
        <v>5774</v>
      </c>
      <c r="AK42" s="7" t="s">
        <v>5832</v>
      </c>
      <c r="AL42" t="b">
        <f>AND(NOT(ISNUMBER(AL43)),ISNUMBER(AL10),ISNUMBER(O5),ISNUMBER(AL24))</f>
        <v>0</v>
      </c>
      <c r="AN42" s="9" t="str">
        <f t="shared" si="3"/>
        <v/>
      </c>
    </row>
    <row r="43" spans="26:40">
      <c r="Z43" s="7" t="s">
        <v>5689</v>
      </c>
      <c r="AA43" t="b">
        <f>IF(ISNUMBER(H5),H5)</f>
        <v>0</v>
      </c>
      <c r="AC43" s="9" t="str">
        <f t="shared" si="0"/>
        <v/>
      </c>
      <c r="AK43" s="7" t="s">
        <v>5834</v>
      </c>
      <c r="AL43" t="b">
        <f>IF(ISNUMBER(S5),S5)</f>
        <v>0</v>
      </c>
      <c r="AN43" s="9" t="str">
        <f t="shared" si="3"/>
        <v/>
      </c>
    </row>
    <row r="44" spans="26:40">
      <c r="Z44" s="7" t="s">
        <v>5690</v>
      </c>
      <c r="AA44" s="233" t="b">
        <f>IF(AND(ISNUMBER(AA17),AND(AA35&gt;10^-7,AA35&lt;20)),AA35^2/(AA17)+AA35)</f>
        <v>0</v>
      </c>
      <c r="AB44" s="142"/>
      <c r="AC44" s="9" t="str">
        <f t="shared" si="0"/>
        <v/>
      </c>
      <c r="AK44" s="7" t="s">
        <v>5836</v>
      </c>
      <c r="AL44" s="233" t="b">
        <f>IF(AL42,AL10*O5/AL24)</f>
        <v>0</v>
      </c>
      <c r="AM44" s="142"/>
      <c r="AN44" s="9" t="str">
        <f t="shared" si="3"/>
        <v/>
      </c>
    </row>
    <row r="45" spans="26:40" ht="15.75" thickBot="1">
      <c r="Z45" s="234" t="s">
        <v>5691</v>
      </c>
      <c r="AA45" s="68" t="str" cm="1">
        <f t="array" ref="AA45">IFERROR(_xlfn.IFS(AA43,AA43,AA44,AA44),"")</f>
        <v/>
      </c>
      <c r="AB45" s="68" t="str">
        <f>IFERROR(IF(
    OR(ABS(AA45)&lt;0.001,ABS(AA45)&gt;MIN(10^($AA$3)-1,9999)),
    TEXT(AA45, "0," &amp; REPT("0", $AA$3-1) &amp; "E+00"),
    IF(AA45="","",
IF(INT(LOG10(ABS(AA45)))+1=$AA$3,TEXT(AA45,"0"),
TEXT(IF(AA45&lt;0,"-","")&amp;LEFT(TEXT(ABS(AA45),"0,"&amp;REPT("0",$AA$3-1)&amp;"E+00"),$AA$3+1)*10^FLOOR(LOG10(TEXT(ABS(AA45),"0,"&amp;REPT("0",$AA$3-1)&amp;"E+00")),1),(""&amp;(IF(OR(AND(FLOOR(LOG10(TEXT(ABS(AA45),"0,"&amp;REPT("0",$AA$3-1)&amp;"E+00")),1)+1=$AA$3,RIGHT(LEFT(TEXT(ABS(AA45),"0,"&amp;REPT("0",$AA$3-1)&amp;"E+00"),$AA$3+1)*10^FLOOR(LOG10(TEXT(ABS(AA45),"0,"&amp;REPT("0",$AA$3-1)&amp;"E+00")),1),1)="0"),LOG10(TEXT(ABS(AA45),"0,"&amp;REPT("0",$AA$3-1)&amp;"E+00"))&lt;=$AA$3-1),"0,","#")&amp;REPT("0",IF($AA$3-1-(FLOOR(LOG10(TEXT(ABS(AA45),"0,"&amp;REPT("0",$AA$3-1)&amp;"E+00")),1))&gt;0,$AA$3-1-(FLOOR(LOG10(TEXT(ABS(AA45),"0,"&amp;REPT("0",$AA$3-1)&amp;"E+00")),1)),0))))))
)),"")</f>
        <v/>
      </c>
      <c r="AC45" s="74" t="str">
        <f t="shared" si="0"/>
        <v/>
      </c>
      <c r="AK45" s="234" t="s">
        <v>5691</v>
      </c>
      <c r="AL45" s="68" t="str" cm="1">
        <f t="array" ref="AL45">IFERROR(_xlfn.IFS(AL43,AL43,AL44,AL44),"")</f>
        <v/>
      </c>
      <c r="AM45" s="68" t="str">
        <f>IFERROR(IF(
    OR(ABS(AL45)&lt;0.001,ABS(AL45)&gt;MIN(10^($AA$3)-1,9999)),
    TEXT(AL45, "0," &amp; REPT("0", $AA$3-1) &amp; "E+00"),
    IF(AL45="","",
IF(INT(LOG10(ABS(AL45)))+1=$AA$3,TEXT(AL45,"0"),
TEXT(IF(AL45&lt;0,"-","")&amp;LEFT(TEXT(ABS(AL45),"0,"&amp;REPT("0",$AA$3-1)&amp;"E+00"),$AA$3+1)*10^FLOOR(LOG10(TEXT(ABS(AL45),"0,"&amp;REPT("0",$AA$3-1)&amp;"E+00")),1),(""&amp;(IF(OR(AND(FLOOR(LOG10(TEXT(ABS(AL45),"0,"&amp;REPT("0",$AA$3-1)&amp;"E+00")),1)+1=$AA$3,RIGHT(LEFT(TEXT(ABS(AL45),"0,"&amp;REPT("0",$AA$3-1)&amp;"E+00"),$AA$3+1)*10^FLOOR(LOG10(TEXT(ABS(AL45),"0,"&amp;REPT("0",$AA$3-1)&amp;"E+00")),1),1)="0"),LOG10(TEXT(ABS(AL45),"0,"&amp;REPT("0",$AA$3-1)&amp;"E+00"))&lt;=$AA$3-1),"0,","#")&amp;REPT("0",IF($AA$3-1-(FLOOR(LOG10(TEXT(ABS(AL45),"0,"&amp;REPT("0",$AA$3-1)&amp;"E+00")),1))&gt;0,$AA$3-1-(FLOOR(LOG10(TEXT(ABS(AL45),"0,"&amp;REPT("0",$AA$3-1)&amp;"E+00")),1)),0))))))
)),"")</f>
        <v/>
      </c>
      <c r="AN45" s="74" t="str">
        <f t="shared" si="3"/>
        <v/>
      </c>
    </row>
    <row r="47" spans="26:40">
      <c r="AK47" s="7" t="s">
        <v>5843</v>
      </c>
      <c r="AL47" t="b">
        <f>AND(NOT(ISNUMBER(AL48)),ISNUMBER(AL10),ISNUMBER(AL24),ISNUMBER(S10))</f>
        <v>0</v>
      </c>
      <c r="AN47" s="9" t="str">
        <f t="shared" ref="AN47:AN55" si="4">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47,$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48" spans="26:40">
      <c r="AK48" s="7" t="s">
        <v>5842</v>
      </c>
      <c r="AL48" t="b">
        <f>IF(ISNUMBER(O10),O10)</f>
        <v>0</v>
      </c>
      <c r="AN48" s="9" t="str">
        <f t="shared" si="4"/>
        <v/>
      </c>
    </row>
    <row r="49" spans="16:40">
      <c r="P49" t="str">
        <f t="shared" ref="P49:P56" si="5">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O49,$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c r="AK49" s="7" t="s">
        <v>5835</v>
      </c>
      <c r="AL49" s="233" t="b">
        <f>IF(AL47,S10*AL24/AL10)</f>
        <v>0</v>
      </c>
      <c r="AN49" s="9" t="str">
        <f t="shared" si="4"/>
        <v/>
      </c>
    </row>
    <row r="50" spans="16:40">
      <c r="P50" t="str">
        <f t="shared" si="5"/>
        <v/>
      </c>
      <c r="AK50" s="230" t="s">
        <v>5844</v>
      </c>
      <c r="AL50" t="str" cm="1">
        <f t="array" ref="AL50">IFERROR(_xlfn.IFS(AL48,AL48,AL49,AL49),"")</f>
        <v/>
      </c>
      <c r="AM50" t="str">
        <f>IFERROR(IF(
    OR(ABS(AL50)&lt;0.001,ABS(AL50)&gt;MIN(10^($AL$3)-1,9999)),
    TEXT(AL50, "0," &amp; REPT("0", $AL$3-1) &amp; "E+00"),
    IF(AL50="","",
IF(INT(LOG10(ABS(AL50)))+1=$AL$3,TEXT(AL50,"0"),
TEXT(IF(AL50&lt;0,"-","")&amp;LEFT(TEXT(ABS(AL50),"0,"&amp;REPT("0",$AL$3-1)&amp;"E+00"),$AL$3+1)*10^FLOOR(LOG10(TEXT(ABS(AL50),"0,"&amp;REPT("0",$AL$3-1)&amp;"E+00")),1),(""&amp;(IF(OR(AND(FLOOR(LOG10(TEXT(ABS(AL50),"0,"&amp;REPT("0",$AL$3-1)&amp;"E+00")),1)+1=$AL$3,RIGHT(LEFT(TEXT(ABS(AL50),"0,"&amp;REPT("0",$AL$3-1)&amp;"E+00"),$AL$3+1)*10^FLOOR(LOG10(TEXT(ABS(AL50),"0,"&amp;REPT("0",$AL$3-1)&amp;"E+00")),1),1)="0"),LOG10(TEXT(ABS(AL50),"0,"&amp;REPT("0",$AL$3-1)&amp;"E+00"))&lt;=$AL$3-1),"0,","#")&amp;REPT("0",IF($AL$3-1-(FLOOR(LOG10(TEXT(ABS(AL50),"0,"&amp;REPT("0",$AL$3-1)&amp;"E+00")),1))&gt;0,$AL$3-1-(FLOOR(LOG10(TEXT(ABS(AL50),"0,"&amp;REPT("0",$AL$3-1)&amp;"E+00")),1)),0))))))
)),"")</f>
        <v/>
      </c>
      <c r="AN50" s="9" t="str">
        <f t="shared" si="4"/>
        <v/>
      </c>
    </row>
    <row r="51" spans="16:40">
      <c r="P51" t="str">
        <f t="shared" si="5"/>
        <v/>
      </c>
      <c r="AK51" s="7"/>
      <c r="AN51" s="9" t="str">
        <f t="shared" si="4"/>
        <v/>
      </c>
    </row>
    <row r="52" spans="16:40">
      <c r="P52" t="str">
        <f t="shared" si="5"/>
        <v/>
      </c>
      <c r="AK52" s="7" t="s">
        <v>5846</v>
      </c>
      <c r="AL52" t="b">
        <f>AND(NOT(ISNUMBER(AL53)),ISNUMBER(AL10),ISNUMBER(O10),ISNUMBER(AL24))</f>
        <v>0</v>
      </c>
      <c r="AN52" s="9" t="str">
        <f t="shared" si="4"/>
        <v/>
      </c>
    </row>
    <row r="53" spans="16:40">
      <c r="P53" t="str">
        <f t="shared" si="5"/>
        <v/>
      </c>
      <c r="AK53" s="7" t="s">
        <v>5845</v>
      </c>
      <c r="AL53" t="b">
        <f>IF(ISNUMBER(S10),S10)</f>
        <v>0</v>
      </c>
      <c r="AN53" s="9" t="str">
        <f t="shared" si="4"/>
        <v/>
      </c>
    </row>
    <row r="54" spans="16:40">
      <c r="P54" t="str">
        <f t="shared" si="5"/>
        <v/>
      </c>
      <c r="AK54" s="7" t="s">
        <v>5836</v>
      </c>
      <c r="AL54" s="233" t="b">
        <f>IF(AL52,AL10*O10/AL24)</f>
        <v>0</v>
      </c>
      <c r="AM54" s="142"/>
      <c r="AN54" s="9" t="str">
        <f t="shared" si="4"/>
        <v/>
      </c>
    </row>
    <row r="55" spans="16:40" ht="15.75" thickBot="1">
      <c r="P55" t="str">
        <f t="shared" si="5"/>
        <v/>
      </c>
      <c r="AK55" s="234" t="s">
        <v>5691</v>
      </c>
      <c r="AL55" s="68" t="str" cm="1">
        <f t="array" ref="AL55">IFERROR(_xlfn.IFS(AL53,AL53,AL54,AL54),"")</f>
        <v/>
      </c>
      <c r="AM55" s="68" t="str">
        <f>IFERROR(IF(
    OR(ABS(AL55)&lt;0.001,ABS(AL55)&gt;MIN(10^($AA$3)-1,9999)),
    TEXT(AL55, "0," &amp; REPT("0", $AA$3-1) &amp; "E+00"),
    IF(AL55="","",
IF(INT(LOG10(ABS(AL55)))+1=$AA$3,TEXT(AL55,"0"),
TEXT(IF(AL55&lt;0,"-","")&amp;LEFT(TEXT(ABS(AL55),"0,"&amp;REPT("0",$AA$3-1)&amp;"E+00"),$AA$3+1)*10^FLOOR(LOG10(TEXT(ABS(AL55),"0,"&amp;REPT("0",$AA$3-1)&amp;"E+00")),1),(""&amp;(IF(OR(AND(FLOOR(LOG10(TEXT(ABS(AL55),"0,"&amp;REPT("0",$AA$3-1)&amp;"E+00")),1)+1=$AA$3,RIGHT(LEFT(TEXT(ABS(AL55),"0,"&amp;REPT("0",$AA$3-1)&amp;"E+00"),$AA$3+1)*10^FLOOR(LOG10(TEXT(ABS(AL55),"0,"&amp;REPT("0",$AA$3-1)&amp;"E+00")),1),1)="0"),LOG10(TEXT(ABS(AL55),"0,"&amp;REPT("0",$AA$3-1)&amp;"E+00"))&lt;=$AA$3-1),"0,","#")&amp;REPT("0",IF($AA$3-1-(FLOOR(LOG10(TEXT(ABS(AL55),"0,"&amp;REPT("0",$AA$3-1)&amp;"E+00")),1))&gt;0,$AA$3-1-(FLOOR(LOG10(TEXT(ABS(AL55),"0,"&amp;REPT("0",$AA$3-1)&amp;"E+00")),1)),0))))))
)),"")</f>
        <v/>
      </c>
      <c r="AN55" s="74" t="str">
        <f t="shared" si="4"/>
        <v/>
      </c>
    </row>
    <row r="56" spans="16:40">
      <c r="P56" t="str">
        <f t="shared" si="5"/>
        <v/>
      </c>
    </row>
  </sheetData>
  <mergeCells count="4">
    <mergeCell ref="E5:F9"/>
    <mergeCell ref="F16:F20"/>
    <mergeCell ref="P5:Q10"/>
    <mergeCell ref="Q16:Q21"/>
  </mergeCells>
  <phoneticPr fontId="26"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Termodynamik</vt:lpstr>
      <vt:lpstr>Elementaranalyse</vt:lpstr>
      <vt:lpstr>Reaktionsordener</vt:lpstr>
      <vt:lpstr>Aktiveringsenergi (Arrhenius)</vt:lpstr>
      <vt:lpstr>SyreBase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Kaldal Kræmmer</dc:creator>
  <cp:lastModifiedBy>Niels Kaldal Kræmmer</cp:lastModifiedBy>
  <dcterms:created xsi:type="dcterms:W3CDTF">2024-01-31T20:58:32Z</dcterms:created>
  <dcterms:modified xsi:type="dcterms:W3CDTF">2025-05-20T07:52:54Z</dcterms:modified>
</cp:coreProperties>
</file>